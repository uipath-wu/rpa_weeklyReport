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E3FF5454-230D-499A-9940-05D637606150}" xr6:coauthVersionLast="31" xr6:coauthVersionMax="31" xr10:uidLastSave="{00000000-0000-0000-0000-000000000000}"/>
  <bookViews>
    <workbookView xWindow="0" yWindow="0" windowWidth="18756" windowHeight="5880" xr2:uid="{00000000-000D-0000-FFFF-FFFF00000000}"/>
  </bookViews>
  <sheets>
    <sheet name="Setting" sheetId="3" r:id="rId1"/>
    <sheet name="InputFile" sheetId="4" r:id="rId2"/>
    <sheet name="KibanaQuery" sheetId="5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5" l="1"/>
  <c r="D5" i="5" l="1"/>
  <c r="D4" i="5"/>
  <c r="D3" i="5"/>
  <c r="E4" i="5"/>
  <c r="E3" i="5"/>
  <c r="C4" i="5" l="1"/>
  <c r="C5" i="5"/>
  <c r="C3" i="5"/>
</calcChain>
</file>

<file path=xl/sharedStrings.xml><?xml version="1.0" encoding="utf-8"?>
<sst xmlns="http://schemas.openxmlformats.org/spreadsheetml/2006/main" count="152" uniqueCount="107">
  <si>
    <t>Description</t>
    <phoneticPr fontId="1"/>
  </si>
  <si>
    <t>Key</t>
    <phoneticPr fontId="1"/>
  </si>
  <si>
    <t>Value</t>
    <phoneticPr fontId="1"/>
  </si>
  <si>
    <t>OutputFileName</t>
    <phoneticPr fontId="1"/>
  </si>
  <si>
    <t>.\Output\Output.xlsx</t>
    <phoneticPr fontId="1"/>
  </si>
  <si>
    <t>.\Output\HTMLEmail.txt</t>
    <phoneticPr fontId="1"/>
  </si>
  <si>
    <t>HTMLOutputFile</t>
    <phoneticPr fontId="1"/>
  </si>
  <si>
    <t>InputFileName</t>
    <phoneticPr fontId="1"/>
  </si>
  <si>
    <t>If set this to "YES", make sure to provide input file inside InputFile folder before running the process</t>
    <phoneticPr fontId="1"/>
  </si>
  <si>
    <t>.\InputFile\RPA Service Management Sheet.xlsx</t>
    <phoneticPr fontId="1"/>
  </si>
  <si>
    <t>InputFilePath</t>
    <phoneticPr fontId="1"/>
  </si>
  <si>
    <t>GoogleSSHttps</t>
    <phoneticPr fontId="1"/>
  </si>
  <si>
    <t>GET</t>
    <phoneticPr fontId="1"/>
  </si>
  <si>
    <t>https://docs.google.com/spreadsheets/d/</t>
    <phoneticPr fontId="1"/>
  </si>
  <si>
    <t>1bY8qTSNiCYe93vdE5w-9dIrtBQEe5cefBrdwI4-jphY</t>
    <phoneticPr fontId="1"/>
  </si>
  <si>
    <t>GoogleSSURL</t>
    <phoneticPr fontId="1"/>
  </si>
  <si>
    <t>GoogleSSgid</t>
    <phoneticPr fontId="1"/>
  </si>
  <si>
    <t>InputFileFolder</t>
    <phoneticPr fontId="1"/>
  </si>
  <si>
    <t>.\InputFile</t>
    <phoneticPr fontId="1"/>
  </si>
  <si>
    <t>OutputFolder</t>
    <phoneticPr fontId="1"/>
  </si>
  <si>
    <t>.\Output</t>
    <phoneticPr fontId="1"/>
  </si>
  <si>
    <t>CleanUpFolder</t>
    <phoneticPr fontId="1"/>
  </si>
  <si>
    <t>.\CleanUp</t>
    <phoneticPr fontId="1"/>
  </si>
  <si>
    <t>ManualInputFilePath</t>
    <phoneticPr fontId="1"/>
  </si>
  <si>
    <t>".\InputFile\RPA Service Management Sheet.xlsx"</t>
    <phoneticPr fontId="1"/>
  </si>
  <si>
    <t>NO</t>
    <phoneticPr fontId="1"/>
  </si>
  <si>
    <t>ManualInputFileFlag</t>
    <phoneticPr fontId="1"/>
  </si>
  <si>
    <t>Currently, manual input file existance can be checked for only 1 input file.
Input the manual input file path here.</t>
    <phoneticPr fontId="1"/>
  </si>
  <si>
    <t>RPA Service Management Sheet.xlsx</t>
  </si>
  <si>
    <t>**GoogleSSgid only input when pointing to specific sheet</t>
    <phoneticPr fontId="1"/>
  </si>
  <si>
    <t>No</t>
  </si>
  <si>
    <t>No</t>
    <phoneticPr fontId="1"/>
  </si>
  <si>
    <t>Write full path for inputfile to be placed</t>
    <phoneticPr fontId="1"/>
  </si>
  <si>
    <t>Sheet id portion (ex. &amp;gid=123456789</t>
    <phoneticPr fontId="1"/>
  </si>
  <si>
    <t>https portion (ex. https://docs.google.com/spreadsheets/d/</t>
    <phoneticPr fontId="1"/>
  </si>
  <si>
    <t>unique URL portion (ex. Abcedf12345</t>
    <phoneticPr fontId="1"/>
  </si>
  <si>
    <t>RPA Service Management Sheet - TS.xlsx</t>
    <phoneticPr fontId="1"/>
  </si>
  <si>
    <t>.\InputFile\RPA Service Management Sheet - TS.xlsx</t>
    <phoneticPr fontId="1"/>
  </si>
  <si>
    <t>RPA Service Management Sheet - Process.xlsx</t>
    <phoneticPr fontId="1"/>
  </si>
  <si>
    <t>.\InputFile\RPA Service Management Sheet - Process.xlsx</t>
    <phoneticPr fontId="1"/>
  </si>
  <si>
    <t>&amp;gid=858007682</t>
    <phoneticPr fontId="1"/>
  </si>
  <si>
    <t>&amp;gid=435117668</t>
    <phoneticPr fontId="1"/>
  </si>
  <si>
    <t>SAMPLE・例</t>
    <rPh sb="7" eb="8">
      <t>レイ</t>
    </rPh>
    <phoneticPr fontId="1"/>
  </si>
  <si>
    <t>CloseChromeFlag</t>
    <phoneticPr fontId="1"/>
  </si>
  <si>
    <t>Yes</t>
  </si>
  <si>
    <t>NO</t>
  </si>
  <si>
    <t>Suggest to set this to "NO" for minimum potential complications.
If set this to "YES", Chrome browser will close after input file download has been confirmed.</t>
    <phoneticPr fontId="1"/>
  </si>
  <si>
    <t>&amp;gid=986567056</t>
  </si>
  <si>
    <t>.\InputFile\RPA Service Management Sheet - A&amp;T.xlsx</t>
  </si>
  <si>
    <t>RPA Service Management Sheet - A&amp;T.xlsx</t>
  </si>
  <si>
    <t>&amp;gid=124380307</t>
  </si>
  <si>
    <t>RPA Service Management Sheet - Issue&amp;KB.xlsx</t>
  </si>
  <si>
    <t>.\InputFile\RPA Service Management Sheet - Issue&amp;KB.xlsx</t>
  </si>
  <si>
    <t>RPA Service Management Sheet - New.xlsx</t>
  </si>
  <si>
    <t>.\InputFile\RPA Service Management Sheet - New.xlsx</t>
  </si>
  <si>
    <t>RPA Service Management Sheet - ACR.xlsx</t>
  </si>
  <si>
    <t>.\InputFile\RPA Service Management Sheet - ACR.xlsx</t>
  </si>
  <si>
    <t>RPA Service Management Sheet - ICR.xlsx</t>
  </si>
  <si>
    <t>.\InputFile\RPA Service Management Sheet - ICR.xlsx</t>
  </si>
  <si>
    <t>&amp;gid=339174910</t>
  </si>
  <si>
    <t>&amp;gid=1152777315</t>
  </si>
  <si>
    <t>&amp;gid=1864998884</t>
  </si>
  <si>
    <t>ChromeDLSetting</t>
    <phoneticPr fontId="1"/>
  </si>
  <si>
    <t>ReportName</t>
    <phoneticPr fontId="1"/>
  </si>
  <si>
    <t>ReportEndDate</t>
    <phoneticPr fontId="1"/>
  </si>
  <si>
    <t>ReportStartDate</t>
    <phoneticPr fontId="1"/>
  </si>
  <si>
    <t>KibanaCSVDefaultName</t>
  </si>
  <si>
    <t>InputSheetName</t>
    <phoneticPr fontId="1"/>
  </si>
  <si>
    <t>InputFileHeaderRow</t>
    <phoneticPr fontId="1"/>
  </si>
  <si>
    <t>OutputFileName</t>
    <phoneticPr fontId="9"/>
  </si>
  <si>
    <t>OutputSheetName</t>
    <phoneticPr fontId="9"/>
  </si>
  <si>
    <t>Auto calculated from Setting! "ReportingDate"</t>
    <phoneticPr fontId="9"/>
  </si>
  <si>
    <t xml:space="preserve">Auto calculated from Setting! "ReportingDate" AND Setting! "ReportingPeriod* (# of days)" </t>
    <phoneticPr fontId="1"/>
  </si>
  <si>
    <t>Sheet Name</t>
    <phoneticPr fontId="1"/>
  </si>
  <si>
    <t>Row to take as header row (only 1 row)</t>
    <phoneticPr fontId="1"/>
  </si>
  <si>
    <t>この行は記入例。</t>
    <rPh sb="2" eb="3">
      <t>ギョウ</t>
    </rPh>
    <rPh sb="4" eb="6">
      <t>キニュウ</t>
    </rPh>
    <rPh sb="6" eb="7">
      <t>レイ</t>
    </rPh>
    <phoneticPr fontId="1"/>
  </si>
  <si>
    <t>1WeekReport</t>
    <phoneticPr fontId="9"/>
  </si>
  <si>
    <t>vis_common_process_usage_confirm_Weekly2.csv</t>
  </si>
  <si>
    <t>.\InputFile\ProdKibana1WkReport.csv</t>
    <phoneticPr fontId="9"/>
  </si>
  <si>
    <t>vis_common_process_usage_confir</t>
  </si>
  <si>
    <t>A1</t>
    <phoneticPr fontId="9"/>
  </si>
  <si>
    <t>.\Output/Output.xlsx</t>
    <phoneticPr fontId="9"/>
  </si>
  <si>
    <t>1MonthReport</t>
    <phoneticPr fontId="9"/>
  </si>
  <si>
    <t>.\InputFile\ProdKibana1MoReport.csv</t>
    <phoneticPr fontId="9"/>
  </si>
  <si>
    <t>3MonthReport</t>
    <phoneticPr fontId="9"/>
  </si>
  <si>
    <t>.\InputFile\ProdKibana3MoReport.csv</t>
    <phoneticPr fontId="9"/>
  </si>
  <si>
    <t>KibanaCSVDefaultName</t>
    <phoneticPr fontId="9"/>
  </si>
  <si>
    <t>vis_common_process_usage_confirm_Weekly2.csv</t>
    <phoneticPr fontId="9"/>
  </si>
  <si>
    <t>int32Days</t>
    <phoneticPr fontId="1"/>
  </si>
  <si>
    <t>PeriodCalcPointDate</t>
    <phoneticPr fontId="1"/>
  </si>
  <si>
    <r>
      <t xml:space="preserve">Input the default name assigned when exporting .csv file from Kibana by clicking "Formatted" button
This is required to use Chrome browser with </t>
    </r>
    <r>
      <rPr>
        <sz val="11"/>
        <color theme="1"/>
        <rFont val="Yu Gothic"/>
        <family val="3"/>
        <charset val="128"/>
        <scheme val="minor"/>
      </rPr>
      <t xml:space="preserve">default </t>
    </r>
    <r>
      <rPr>
        <b/>
        <sz val="11"/>
        <color theme="1"/>
        <rFont val="Yu Gothic"/>
        <family val="3"/>
        <charset val="128"/>
        <scheme val="minor"/>
      </rPr>
      <t xml:space="preserve">download setting </t>
    </r>
    <phoneticPr fontId="9"/>
  </si>
  <si>
    <t>If using "int32Days" for Kibana query, set "PeriodCalcPointDate" as [in_strStartDate] parameter of Kibana Query DL components</t>
    <phoneticPr fontId="1"/>
  </si>
  <si>
    <t xml:space="preserve">If positive number, it will be + to PeriodCalcPointDate for Kibana Query. 
If negative number, it will be - to PeriodCalcPointDate for Kibana Query. </t>
    <phoneticPr fontId="1"/>
  </si>
  <si>
    <t>TemplatePath</t>
    <phoneticPr fontId="1"/>
  </si>
  <si>
    <t>.\実行サイクル確認_template.xlsx</t>
    <phoneticPr fontId="1"/>
  </si>
  <si>
    <t>TemplateSheet1</t>
    <phoneticPr fontId="1"/>
  </si>
  <si>
    <t>実行サイクル確認表</t>
    <phoneticPr fontId="1"/>
  </si>
  <si>
    <t>manual</t>
  </si>
  <si>
    <t>GDriveFolderString</t>
    <phoneticPr fontId="1"/>
  </si>
  <si>
    <t>1oKZIMx6agOsLoGcZQZH7wRKHWcNYk8Uw</t>
  </si>
  <si>
    <t>Folder id string of target Gdrive folder where output file should be uploaded to</t>
    <phoneticPr fontId="1"/>
  </si>
  <si>
    <t>OCKibanaCredentialAsset</t>
    <phoneticPr fontId="1"/>
  </si>
  <si>
    <t>Credential Asset name from OC to Kibana credential</t>
    <phoneticPr fontId="1"/>
  </si>
  <si>
    <t>09012735_kibana_prd</t>
    <phoneticPr fontId="1"/>
  </si>
  <si>
    <t>ProcessManagementSheet</t>
    <phoneticPr fontId="1"/>
  </si>
  <si>
    <t>DataRange</t>
    <phoneticPr fontId="1"/>
  </si>
  <si>
    <t>A6:FA1000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</si>
</sst>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name val="Yu Gothic"/>
      <family val="2"/>
      <scheme val="minor"/>
    </font>
    <font>
      <b/>
      <sz val="1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2" fillId="0" borderId="0" xfId="0" applyFont="1"/>
    <xf numFmtId="0" fontId="5" fillId="0" borderId="0" xfId="1"/>
    <xf numFmtId="0" fontId="0" fillId="3" borderId="0" xfId="0" applyFill="1"/>
    <xf numFmtId="0" fontId="2" fillId="3" borderId="0" xfId="0" applyFont="1" applyFill="1"/>
    <xf numFmtId="0" fontId="6" fillId="0" borderId="0" xfId="0" applyFont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0" fontId="2" fillId="0" borderId="0" xfId="0" applyFont="1" applyAlignment="1">
      <alignment wrapText="1"/>
    </xf>
    <xf numFmtId="0" fontId="4" fillId="0" borderId="0" xfId="0" applyFont="1"/>
    <xf numFmtId="0" fontId="5" fillId="2" borderId="0" xfId="1" applyFill="1"/>
    <xf numFmtId="0" fontId="3" fillId="3" borderId="0" xfId="0" applyFont="1" applyFill="1"/>
    <xf numFmtId="0" fontId="3" fillId="3" borderId="0" xfId="0" applyFont="1" applyFill="1" applyAlignment="1"/>
    <xf numFmtId="0" fontId="7" fillId="3" borderId="0" xfId="0" applyFont="1" applyFill="1" applyAlignment="1"/>
    <xf numFmtId="0" fontId="8" fillId="3" borderId="0" xfId="0" applyFont="1" applyFill="1" applyAlignment="1"/>
    <xf numFmtId="0" fontId="3" fillId="4" borderId="0" xfId="0" applyFont="1" applyFill="1" applyAlignment="1"/>
    <xf numFmtId="0" fontId="10" fillId="4" borderId="0" xfId="0" applyFont="1" applyFill="1" applyAlignment="1"/>
    <xf numFmtId="0" fontId="7" fillId="4" borderId="0" xfId="0" applyFont="1" applyFill="1" applyAlignment="1">
      <alignment vertical="center"/>
    </xf>
    <xf numFmtId="0" fontId="7" fillId="4" borderId="0" xfId="0" applyFont="1" applyFill="1" applyAlignment="1"/>
    <xf numFmtId="0" fontId="11" fillId="4" borderId="0" xfId="0" applyFont="1" applyFill="1" applyAlignment="1"/>
    <xf numFmtId="0" fontId="4" fillId="4" borderId="0" xfId="0" applyFont="1" applyFill="1" applyAlignment="1"/>
    <xf numFmtId="0" fontId="0" fillId="0" borderId="0" xfId="0" applyAlignment="1">
      <alignment vertical="center"/>
    </xf>
    <xf numFmtId="0" fontId="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vertical="center" wrapText="1"/>
    </xf>
    <xf numFmtId="14" fontId="0" fillId="0" borderId="0" xfId="0" applyNumberFormat="1" applyAlignment="1">
      <alignment vertical="center"/>
    </xf>
    <xf numFmtId="0" fontId="7" fillId="6" borderId="0" xfId="0" applyFont="1" applyFill="1" applyAlignment="1"/>
    <xf numFmtId="0" fontId="3" fillId="6" borderId="0" xfId="0" applyFont="1" applyFill="1" applyAlignment="1"/>
    <xf numFmtId="0" fontId="8" fillId="4" borderId="0" xfId="0" applyFont="1" applyFill="1" applyAlignment="1"/>
    <xf numFmtId="0" fontId="11" fillId="4" borderId="0" xfId="0" applyFont="1" applyFill="1" applyAlignment="1">
      <alignment vertical="top"/>
    </xf>
    <xf numFmtId="0" fontId="0" fillId="6" borderId="0" xfId="0" applyFill="1"/>
    <xf numFmtId="0" fontId="3" fillId="7" borderId="0" xfId="0" applyFont="1" applyFill="1"/>
    <xf numFmtId="0" fontId="3" fillId="8" borderId="0" xfId="0" applyFont="1" applyFill="1"/>
    <xf numFmtId="14" fontId="0" fillId="0" borderId="0" xfId="0" applyNumberFormat="1"/>
    <xf numFmtId="14" fontId="0" fillId="0" borderId="0" xfId="0" applyNumberFormat="1" applyFill="1" applyAlignment="1">
      <alignment vertical="center"/>
    </xf>
    <xf numFmtId="0" fontId="3" fillId="6" borderId="0" xfId="0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" TargetMode="External"/><Relationship Id="rId3" Type="http://schemas.openxmlformats.org/officeDocument/2006/relationships/hyperlink" Target="https://docs.google.com/spreadsheets/d/" TargetMode="External"/><Relationship Id="rId7" Type="http://schemas.openxmlformats.org/officeDocument/2006/relationships/hyperlink" Target="https://docs.google.com/spreadsheets/d/" TargetMode="External"/><Relationship Id="rId2" Type="http://schemas.openxmlformats.org/officeDocument/2006/relationships/hyperlink" Target="https://docs.google.com/spreadsheets/d/" TargetMode="External"/><Relationship Id="rId1" Type="http://schemas.openxmlformats.org/officeDocument/2006/relationships/hyperlink" Target="https://docs.google.com/spreadsheets/d/" TargetMode="External"/><Relationship Id="rId6" Type="http://schemas.openxmlformats.org/officeDocument/2006/relationships/hyperlink" Target="https://docs.google.com/spreadsheets/d/" TargetMode="External"/><Relationship Id="rId5" Type="http://schemas.openxmlformats.org/officeDocument/2006/relationships/hyperlink" Target="https://docs.google.com/spreadsheets/d/" TargetMode="External"/><Relationship Id="rId4" Type="http://schemas.openxmlformats.org/officeDocument/2006/relationships/hyperlink" Target="https://docs.google.com/spreadsheets/d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9491-ABE0-4752-BF60-8EC940021296}">
  <dimension ref="A1:C17"/>
  <sheetViews>
    <sheetView tabSelected="1" zoomScale="70" zoomScaleNormal="70" workbookViewId="0">
      <selection activeCell="B20" sqref="B20"/>
    </sheetView>
  </sheetViews>
  <sheetFormatPr defaultRowHeight="18"/>
  <cols>
    <col min="1" max="1" width="27.3984375" bestFit="1" customWidth="1"/>
    <col min="2" max="2" width="123.69921875" customWidth="1"/>
    <col min="3" max="3" width="102.59765625" bestFit="1" customWidth="1"/>
  </cols>
  <sheetData>
    <row r="1" spans="1:3" s="6" customFormat="1">
      <c r="A1" s="6" t="s">
        <v>1</v>
      </c>
      <c r="B1" s="6" t="s">
        <v>2</v>
      </c>
      <c r="C1" s="6" t="s">
        <v>0</v>
      </c>
    </row>
    <row r="2" spans="1:3">
      <c r="A2" t="s">
        <v>3</v>
      </c>
      <c r="B2" t="s">
        <v>4</v>
      </c>
      <c r="C2" s="4"/>
    </row>
    <row r="3" spans="1:3">
      <c r="A3" t="s">
        <v>6</v>
      </c>
      <c r="B3" t="s">
        <v>5</v>
      </c>
      <c r="C3" s="4"/>
    </row>
    <row r="4" spans="1:3">
      <c r="A4" s="1" t="s">
        <v>17</v>
      </c>
      <c r="B4" t="s">
        <v>18</v>
      </c>
      <c r="C4" s="4"/>
    </row>
    <row r="5" spans="1:3">
      <c r="A5" s="1" t="s">
        <v>19</v>
      </c>
      <c r="B5" t="s">
        <v>20</v>
      </c>
      <c r="C5" s="4"/>
    </row>
    <row r="6" spans="1:3">
      <c r="A6" s="1" t="s">
        <v>21</v>
      </c>
      <c r="B6" t="s">
        <v>22</v>
      </c>
      <c r="C6" s="4"/>
    </row>
    <row r="7" spans="1:3">
      <c r="A7" t="s">
        <v>26</v>
      </c>
      <c r="B7" s="9" t="s">
        <v>25</v>
      </c>
      <c r="C7" s="13" t="s">
        <v>8</v>
      </c>
    </row>
    <row r="8" spans="1:3" ht="36">
      <c r="A8" s="14" t="s">
        <v>23</v>
      </c>
      <c r="B8" s="14" t="s">
        <v>24</v>
      </c>
      <c r="C8" s="13" t="s">
        <v>27</v>
      </c>
    </row>
    <row r="9" spans="1:3" ht="36" customHeight="1">
      <c r="A9" s="1" t="s">
        <v>43</v>
      </c>
      <c r="B9" s="1" t="s">
        <v>45</v>
      </c>
      <c r="C9" s="3" t="s">
        <v>46</v>
      </c>
    </row>
    <row r="10" spans="1:3">
      <c r="A10" s="16" t="s">
        <v>62</v>
      </c>
      <c r="B10" s="35" t="s">
        <v>97</v>
      </c>
    </row>
    <row r="11" spans="1:3" s="26" customFormat="1" ht="45" customHeight="1">
      <c r="A11" s="27" t="s">
        <v>86</v>
      </c>
      <c r="B11" s="28" t="s">
        <v>87</v>
      </c>
      <c r="C11" s="29" t="s">
        <v>90</v>
      </c>
    </row>
    <row r="12" spans="1:3">
      <c r="A12" s="35" t="s">
        <v>93</v>
      </c>
      <c r="B12" s="2" t="s">
        <v>94</v>
      </c>
    </row>
    <row r="13" spans="1:3">
      <c r="A13" s="35" t="s">
        <v>95</v>
      </c>
      <c r="B13" s="2" t="s">
        <v>96</v>
      </c>
    </row>
    <row r="14" spans="1:3">
      <c r="A14" s="36" t="s">
        <v>98</v>
      </c>
      <c r="B14" t="s">
        <v>99</v>
      </c>
      <c r="C14" t="s">
        <v>100</v>
      </c>
    </row>
    <row r="15" spans="1:3">
      <c r="A15" s="37" t="s">
        <v>101</v>
      </c>
      <c r="B15" s="40" t="s">
        <v>103</v>
      </c>
      <c r="C15" t="s">
        <v>102</v>
      </c>
    </row>
    <row r="16" spans="1:3">
      <c r="A16" t="s">
        <v>104</v>
      </c>
      <c r="B16" t="s">
        <v>14</v>
      </c>
    </row>
    <row r="17" spans="1:2">
      <c r="A17" t="s">
        <v>105</v>
      </c>
      <c r="B17" t="s">
        <v>106</v>
      </c>
    </row>
  </sheetData>
  <phoneticPr fontId="1"/>
  <dataValidations count="3">
    <dataValidation type="list" allowBlank="1" showInputMessage="1" showErrorMessage="1" sqref="B7" xr:uid="{F142A32C-BA6F-4F18-AB35-A7AAADA12EA4}">
      <formula1>"YES,NO"</formula1>
    </dataValidation>
    <dataValidation type="list" allowBlank="1" showInputMessage="1" showErrorMessage="1" sqref="B9" xr:uid="{35C0F5A3-66F0-49A4-8EAA-AB502F3DE87D}">
      <formula1>"NO,YES"</formula1>
    </dataValidation>
    <dataValidation type="list" allowBlank="1" showInputMessage="1" showErrorMessage="1" sqref="B10" xr:uid="{7EED3A36-6805-4902-AC9B-9BA6187C7AC1}">
      <formula1>"manual, default"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3FC0-AFFA-4814-AF15-E7D5CA51E3C9}">
  <dimension ref="A1:G10"/>
  <sheetViews>
    <sheetView workbookViewId="0">
      <selection activeCell="B14" sqref="B14"/>
    </sheetView>
  </sheetViews>
  <sheetFormatPr defaultRowHeight="18"/>
  <cols>
    <col min="2" max="2" width="42.3984375" customWidth="1"/>
    <col min="3" max="3" width="46.69921875" bestFit="1" customWidth="1"/>
    <col min="4" max="4" width="14.8984375" bestFit="1" customWidth="1"/>
    <col min="5" max="5" width="15.3984375" bestFit="1" customWidth="1"/>
    <col min="6" max="6" width="16.3984375" bestFit="1" customWidth="1"/>
  </cols>
  <sheetData>
    <row r="1" spans="1:7" s="6" customFormat="1">
      <c r="A1" s="6" t="s">
        <v>12</v>
      </c>
      <c r="B1" s="6" t="s">
        <v>7</v>
      </c>
      <c r="C1" s="6" t="s">
        <v>10</v>
      </c>
      <c r="D1" s="6" t="s">
        <v>11</v>
      </c>
      <c r="E1" s="6" t="s">
        <v>15</v>
      </c>
      <c r="F1" s="6" t="s">
        <v>16</v>
      </c>
      <c r="G1" s="7" t="s">
        <v>29</v>
      </c>
    </row>
    <row r="2" spans="1:7" s="10" customFormat="1">
      <c r="A2" s="10" t="s">
        <v>31</v>
      </c>
      <c r="B2" s="11" t="s">
        <v>42</v>
      </c>
      <c r="C2" s="10" t="s">
        <v>32</v>
      </c>
      <c r="D2" s="10" t="s">
        <v>34</v>
      </c>
      <c r="E2" s="10" t="s">
        <v>35</v>
      </c>
      <c r="F2" s="10" t="s">
        <v>33</v>
      </c>
      <c r="G2" s="12"/>
    </row>
    <row r="3" spans="1:7" s="1" customFormat="1">
      <c r="A3" s="1" t="s">
        <v>44</v>
      </c>
      <c r="B3" s="1" t="s">
        <v>38</v>
      </c>
      <c r="C3" s="1" t="s">
        <v>39</v>
      </c>
      <c r="D3" s="15" t="s">
        <v>13</v>
      </c>
      <c r="E3" s="1" t="s">
        <v>14</v>
      </c>
      <c r="F3" s="1" t="s">
        <v>40</v>
      </c>
    </row>
    <row r="4" spans="1:7" hidden="1">
      <c r="A4" t="s">
        <v>30</v>
      </c>
      <c r="B4" s="2" t="s">
        <v>49</v>
      </c>
      <c r="C4" t="s">
        <v>48</v>
      </c>
      <c r="D4" s="5" t="s">
        <v>13</v>
      </c>
      <c r="E4" t="s">
        <v>14</v>
      </c>
      <c r="F4" t="s">
        <v>47</v>
      </c>
    </row>
    <row r="5" spans="1:7" hidden="1">
      <c r="A5" t="s">
        <v>30</v>
      </c>
      <c r="B5" s="2" t="s">
        <v>51</v>
      </c>
      <c r="C5" t="s">
        <v>52</v>
      </c>
      <c r="D5" s="5" t="s">
        <v>13</v>
      </c>
      <c r="E5" t="s">
        <v>14</v>
      </c>
      <c r="F5" t="s">
        <v>50</v>
      </c>
    </row>
    <row r="6" spans="1:7" hidden="1">
      <c r="A6" t="s">
        <v>30</v>
      </c>
      <c r="B6" s="2" t="s">
        <v>53</v>
      </c>
      <c r="C6" t="s">
        <v>54</v>
      </c>
      <c r="D6" s="5" t="s">
        <v>13</v>
      </c>
      <c r="E6" t="s">
        <v>14</v>
      </c>
      <c r="F6" t="s">
        <v>61</v>
      </c>
    </row>
    <row r="7" spans="1:7" hidden="1">
      <c r="A7" t="s">
        <v>30</v>
      </c>
      <c r="B7" s="2" t="s">
        <v>55</v>
      </c>
      <c r="C7" t="s">
        <v>56</v>
      </c>
      <c r="D7" s="5" t="s">
        <v>13</v>
      </c>
      <c r="E7" t="s">
        <v>14</v>
      </c>
      <c r="F7" t="s">
        <v>60</v>
      </c>
    </row>
    <row r="8" spans="1:7" hidden="1">
      <c r="A8" t="s">
        <v>30</v>
      </c>
      <c r="B8" s="2" t="s">
        <v>57</v>
      </c>
      <c r="C8" t="s">
        <v>58</v>
      </c>
      <c r="D8" s="5" t="s">
        <v>13</v>
      </c>
      <c r="E8" t="s">
        <v>14</v>
      </c>
      <c r="F8" t="s">
        <v>59</v>
      </c>
    </row>
    <row r="9" spans="1:7" hidden="1">
      <c r="A9" t="s">
        <v>30</v>
      </c>
      <c r="B9" s="8" t="s">
        <v>28</v>
      </c>
      <c r="C9" t="s">
        <v>9</v>
      </c>
      <c r="D9" s="5" t="s">
        <v>13</v>
      </c>
      <c r="E9" t="s">
        <v>14</v>
      </c>
    </row>
    <row r="10" spans="1:7" hidden="1">
      <c r="A10" t="s">
        <v>30</v>
      </c>
      <c r="B10" t="s">
        <v>36</v>
      </c>
      <c r="C10" t="s">
        <v>37</v>
      </c>
      <c r="D10" s="5" t="s">
        <v>13</v>
      </c>
      <c r="E10" t="s">
        <v>14</v>
      </c>
      <c r="F10" t="s">
        <v>41</v>
      </c>
    </row>
  </sheetData>
  <phoneticPr fontId="1"/>
  <dataValidations count="1">
    <dataValidation type="list" allowBlank="1" showInputMessage="1" showErrorMessage="1" sqref="A2 A3:A1048576" xr:uid="{E93DD8BF-4FAF-4DCB-AEDA-628ACFECED41}">
      <formula1>"Yes,No"</formula1>
    </dataValidation>
  </dataValidations>
  <hyperlinks>
    <hyperlink ref="D9" r:id="rId1" xr:uid="{486A2574-D2B5-41D2-8859-40F5227D379E}"/>
    <hyperlink ref="D10" r:id="rId2" xr:uid="{C83D6776-9C15-4D15-A206-4E8D0BCEB64D}"/>
    <hyperlink ref="D3" r:id="rId3" xr:uid="{6B04898C-0CAD-4512-8D9E-1456FF7ED600}"/>
    <hyperlink ref="D4" r:id="rId4" xr:uid="{11394117-FC93-49CD-8DE9-0E8FFAD25503}"/>
    <hyperlink ref="D5" r:id="rId5" xr:uid="{CEECEA80-F87E-4CEF-971D-F25A461A992B}"/>
    <hyperlink ref="D6" r:id="rId6" xr:uid="{C3D9837A-E2F3-4530-BA79-5F3F0134BD41}"/>
    <hyperlink ref="D7" r:id="rId7" xr:uid="{B30E7ECA-8BE5-4434-91A1-21C30CC70D5D}"/>
    <hyperlink ref="D8" r:id="rId8" xr:uid="{4EBBAC74-9379-4010-B454-7C401FC7CCE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0679-5664-4712-949A-175781202A23}">
  <dimension ref="A1:M7"/>
  <sheetViews>
    <sheetView zoomScale="80" zoomScaleNormal="80" workbookViewId="0">
      <selection activeCell="F6" sqref="F6"/>
    </sheetView>
  </sheetViews>
  <sheetFormatPr defaultColWidth="9" defaultRowHeight="18"/>
  <cols>
    <col min="1" max="1" width="9" style="26"/>
    <col min="2" max="2" width="14.69921875" style="26" customWidth="1"/>
    <col min="3" max="3" width="16.19921875" style="26" customWidth="1"/>
    <col min="4" max="4" width="14.59765625" style="26" bestFit="1" customWidth="1"/>
    <col min="5" max="5" width="22" style="26" bestFit="1" customWidth="1"/>
    <col min="6" max="6" width="11.69921875" customWidth="1"/>
    <col min="7" max="7" width="22.3984375" style="26" customWidth="1"/>
    <col min="8" max="8" width="34" style="26" customWidth="1"/>
    <col min="9" max="9" width="5.8984375" style="26" hidden="1" customWidth="1"/>
    <col min="10" max="10" width="18.3984375" style="26" hidden="1" customWidth="1"/>
    <col min="11" max="11" width="19.59765625" style="26" hidden="1" customWidth="1"/>
    <col min="12" max="12" width="17.69921875" style="26" customWidth="1"/>
    <col min="13" max="13" width="111.3984375" style="26" bestFit="1" customWidth="1"/>
    <col min="14" max="16384" width="9" style="26"/>
  </cols>
  <sheetData>
    <row r="1" spans="1:13" s="17" customFormat="1">
      <c r="A1" s="17" t="s">
        <v>12</v>
      </c>
      <c r="B1" s="17" t="s">
        <v>63</v>
      </c>
      <c r="C1" s="18" t="s">
        <v>65</v>
      </c>
      <c r="D1" s="18" t="s">
        <v>64</v>
      </c>
      <c r="E1" s="31" t="s">
        <v>89</v>
      </c>
      <c r="F1" s="32" t="s">
        <v>88</v>
      </c>
      <c r="G1" s="19" t="s">
        <v>66</v>
      </c>
      <c r="H1" s="18" t="s">
        <v>7</v>
      </c>
      <c r="I1" s="18" t="s">
        <v>67</v>
      </c>
      <c r="J1" s="18" t="s">
        <v>68</v>
      </c>
      <c r="K1" s="18" t="s">
        <v>69</v>
      </c>
      <c r="L1" s="18" t="s">
        <v>70</v>
      </c>
      <c r="M1" s="17" t="s">
        <v>0</v>
      </c>
    </row>
    <row r="2" spans="1:13" s="21" customFormat="1" ht="54" customHeight="1">
      <c r="A2" s="20" t="s">
        <v>42</v>
      </c>
      <c r="B2" s="21" t="s">
        <v>42</v>
      </c>
      <c r="C2" s="22" t="s">
        <v>71</v>
      </c>
      <c r="D2" s="23" t="s">
        <v>72</v>
      </c>
      <c r="E2" s="33" t="s">
        <v>91</v>
      </c>
      <c r="F2" s="34" t="s">
        <v>92</v>
      </c>
      <c r="G2" s="21" t="s">
        <v>42</v>
      </c>
      <c r="H2" s="21" t="s">
        <v>42</v>
      </c>
      <c r="I2" s="24" t="s">
        <v>73</v>
      </c>
      <c r="J2" s="25" t="s">
        <v>74</v>
      </c>
      <c r="K2" s="21" t="s">
        <v>42</v>
      </c>
      <c r="L2" s="21" t="s">
        <v>42</v>
      </c>
      <c r="M2" s="20" t="s">
        <v>75</v>
      </c>
    </row>
    <row r="3" spans="1:13">
      <c r="A3" s="26" t="s">
        <v>44</v>
      </c>
      <c r="B3" s="26" t="s">
        <v>76</v>
      </c>
      <c r="C3" s="30">
        <f ca="1">D3-7</f>
        <v>44095</v>
      </c>
      <c r="D3" s="30">
        <f t="shared" ref="D3:E5" ca="1" si="0">TODAY()-1</f>
        <v>44102</v>
      </c>
      <c r="E3" s="30">
        <f t="shared" ca="1" si="0"/>
        <v>44102</v>
      </c>
      <c r="F3">
        <v>-7</v>
      </c>
      <c r="G3" s="26" t="s">
        <v>77</v>
      </c>
      <c r="H3" s="26" t="s">
        <v>78</v>
      </c>
      <c r="I3" s="26" t="s">
        <v>79</v>
      </c>
      <c r="J3" s="26" t="s">
        <v>80</v>
      </c>
      <c r="K3" s="26" t="s">
        <v>81</v>
      </c>
      <c r="L3" s="26" t="s">
        <v>76</v>
      </c>
    </row>
    <row r="4" spans="1:13">
      <c r="A4" s="26" t="s">
        <v>44</v>
      </c>
      <c r="B4" s="26" t="s">
        <v>82</v>
      </c>
      <c r="C4" s="30">
        <f ca="1">D4-30</f>
        <v>44072</v>
      </c>
      <c r="D4" s="30">
        <f t="shared" ca="1" si="0"/>
        <v>44102</v>
      </c>
      <c r="E4" s="30">
        <f t="shared" ca="1" si="0"/>
        <v>44102</v>
      </c>
      <c r="F4">
        <v>-30</v>
      </c>
      <c r="G4" s="26" t="s">
        <v>77</v>
      </c>
      <c r="H4" s="26" t="s">
        <v>83</v>
      </c>
      <c r="I4" s="26" t="s">
        <v>79</v>
      </c>
      <c r="J4" s="26" t="s">
        <v>80</v>
      </c>
      <c r="K4" s="26" t="s">
        <v>81</v>
      </c>
      <c r="L4" s="26" t="s">
        <v>82</v>
      </c>
    </row>
    <row r="5" spans="1:13">
      <c r="A5" s="26" t="s">
        <v>44</v>
      </c>
      <c r="B5" s="26" t="s">
        <v>84</v>
      </c>
      <c r="C5" s="30">
        <f ca="1">D5-90</f>
        <v>44012</v>
      </c>
      <c r="D5" s="39">
        <f t="shared" ca="1" si="0"/>
        <v>44102</v>
      </c>
      <c r="E5" s="39">
        <f ca="1">TODAY()-1</f>
        <v>44102</v>
      </c>
      <c r="F5" s="2">
        <v>-90</v>
      </c>
      <c r="G5" s="28" t="s">
        <v>77</v>
      </c>
      <c r="H5" s="26" t="s">
        <v>85</v>
      </c>
      <c r="I5" s="26" t="s">
        <v>79</v>
      </c>
      <c r="J5" s="26" t="s">
        <v>80</v>
      </c>
      <c r="K5" s="26" t="s">
        <v>81</v>
      </c>
      <c r="L5" s="26" t="s">
        <v>84</v>
      </c>
    </row>
    <row r="6" spans="1:13">
      <c r="A6" s="26" t="s">
        <v>30</v>
      </c>
      <c r="E6" s="30"/>
      <c r="F6" s="38"/>
      <c r="G6" s="30"/>
    </row>
    <row r="7" spans="1:13">
      <c r="F7" s="38"/>
    </row>
  </sheetData>
  <phoneticPr fontId="1"/>
  <dataValidations count="1">
    <dataValidation type="list" allowBlank="1" showInputMessage="1" showErrorMessage="1" sqref="A3:A12" xr:uid="{16A64C0D-67F0-4410-8DC0-30F60DC15CBD}">
      <formula1>"Yes,No"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Setting</vt:lpstr>
      <vt:lpstr>InputFile</vt:lpstr>
      <vt:lpstr>KibanaQuery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2020-09-29T09:02:43Z</dcterms:modified>
</cp:coreProperties>
</file>