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09012735\Desktop\FR_RPA_Reporting_V2.5.5\temp\"/>
    </mc:Choice>
  </mc:AlternateContent>
  <xr:revisionPtr revIDLastSave="0" documentId="10_ncr:100000_{57B673C8-2031-401A-BC29-0C5C60878E16}" xr6:coauthVersionLast="31" xr6:coauthVersionMax="31" xr10:uidLastSave="{00000000-0000-0000-0000-000000000000}"/>
  <bookViews>
    <workbookView xWindow="0" yWindow="0" windowWidth="30720" windowHeight="13296" activeTab="3" xr2:uid="{00000000-000D-0000-FFFF-FFFF00000000}"/>
  </bookViews>
  <sheets>
    <sheet name="集計結果" sheetId="2" r:id="rId1"/>
    <sheet name="実行サイクル確認" sheetId="3" r:id="rId2"/>
    <sheet name="成功率確認" sheetId="4" r:id="rId3"/>
    <sheet name="Master" sheetId="5" r:id="rId4"/>
  </sheets>
  <definedNames>
    <definedName name="_xlnm._FilterDatabase" localSheetId="2" hidden="1">成功率確認!$A$1:$Y$51</definedName>
    <definedName name="Z_CBD93674_62A0_4C0B_9093_12186C0656A7_.wvu.FilterData" localSheetId="2" hidden="1">成功率確認!$A$1:$Y$51</definedName>
    <definedName name="Z_FB64EC76_01D8_451C_A3A9_A3C35007152B_.wvu.FilterData" localSheetId="0" hidden="1">集計結果!$A$1:$Q$1000</definedName>
  </definedNames>
  <calcPr calcId="179017"/>
  <customWorkbookViews>
    <customWorkbookView name="在庫、計画管理" guid="{FB64EC76-01D8-451C-A3A9-A3C35007152B}" maximized="1" windowWidth="0" windowHeight="0" activeSheetId="0"/>
    <customWorkbookView name="Filter 1" guid="{CBD93674-62A0-4C0B-9093-12186C0656A7}" maximized="1" windowWidth="0" windowHeight="0" activeSheetId="0"/>
  </customWorkbookViews>
</workbook>
</file>

<file path=xl/calcChain.xml><?xml version="1.0" encoding="utf-8"?>
<calcChain xmlns="http://schemas.openxmlformats.org/spreadsheetml/2006/main">
  <c r="R2" i="5" l="1"/>
  <c r="U51" i="4" s="1"/>
  <c r="V51" i="4" s="1"/>
  <c r="U50" i="4"/>
  <c r="V50" i="4" s="1"/>
  <c r="U48" i="4"/>
  <c r="V48" i="4" s="1"/>
  <c r="U46" i="4"/>
  <c r="V46" i="4" s="1"/>
  <c r="U44" i="4"/>
  <c r="V44" i="4" s="1"/>
  <c r="U42" i="4"/>
  <c r="V42" i="4" s="1"/>
  <c r="U40" i="4"/>
  <c r="V40" i="4" s="1"/>
  <c r="U38" i="4"/>
  <c r="V38" i="4" s="1"/>
  <c r="U36" i="4"/>
  <c r="V36" i="4" s="1"/>
  <c r="U34" i="4"/>
  <c r="V34" i="4" s="1"/>
  <c r="U32" i="4"/>
  <c r="V32" i="4" s="1"/>
  <c r="U30" i="4"/>
  <c r="V30" i="4" s="1"/>
  <c r="U28" i="4"/>
  <c r="V28" i="4" s="1"/>
  <c r="U26" i="4"/>
  <c r="V26" i="4" s="1"/>
  <c r="U24" i="4"/>
  <c r="V24" i="4" s="1"/>
  <c r="U22" i="4"/>
  <c r="V22" i="4" s="1"/>
  <c r="U20" i="4"/>
  <c r="V20" i="4" s="1"/>
  <c r="U18" i="4"/>
  <c r="V18" i="4" s="1"/>
  <c r="U16" i="4"/>
  <c r="V16" i="4" s="1"/>
  <c r="U14" i="4"/>
  <c r="V14" i="4" s="1"/>
  <c r="U12" i="4"/>
  <c r="V12" i="4" s="1"/>
  <c r="U10" i="4"/>
  <c r="V10" i="4" s="1"/>
  <c r="U8" i="4"/>
  <c r="V8" i="4" s="1"/>
  <c r="U6" i="4"/>
  <c r="V6" i="4" s="1"/>
  <c r="U4" i="4"/>
  <c r="V4" i="4" s="1"/>
  <c r="U2" i="4"/>
  <c r="V2" i="4" s="1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J4" i="5"/>
  <c r="D7" i="5"/>
  <c r="D2" i="5"/>
  <c r="D8" i="5"/>
  <c r="D9" i="5"/>
  <c r="D10" i="5"/>
  <c r="J3" i="5"/>
  <c r="D5" i="5"/>
  <c r="J2" i="5"/>
  <c r="D4" i="5"/>
  <c r="D6" i="5"/>
  <c r="D3" i="5"/>
  <c r="A2" i="5" l="1"/>
  <c r="A3" i="5"/>
  <c r="A4" i="5"/>
  <c r="A5" i="5"/>
  <c r="A7" i="5"/>
  <c r="A9" i="5"/>
  <c r="H2" i="5"/>
  <c r="H3" i="5"/>
  <c r="H4" i="5"/>
  <c r="A6" i="5"/>
  <c r="A8" i="5"/>
  <c r="A10" i="5"/>
  <c r="U3" i="4"/>
  <c r="V3" i="4" s="1"/>
  <c r="U5" i="4"/>
  <c r="V5" i="4" s="1"/>
  <c r="U7" i="4"/>
  <c r="V7" i="4" s="1"/>
  <c r="U9" i="4"/>
  <c r="V9" i="4" s="1"/>
  <c r="U11" i="4"/>
  <c r="V11" i="4" s="1"/>
  <c r="U13" i="4"/>
  <c r="V13" i="4" s="1"/>
  <c r="U15" i="4"/>
  <c r="V15" i="4" s="1"/>
  <c r="U17" i="4"/>
  <c r="V17" i="4" s="1"/>
  <c r="U19" i="4"/>
  <c r="V19" i="4" s="1"/>
  <c r="U21" i="4"/>
  <c r="V21" i="4" s="1"/>
  <c r="U23" i="4"/>
  <c r="V23" i="4" s="1"/>
  <c r="U25" i="4"/>
  <c r="V25" i="4" s="1"/>
  <c r="U27" i="4"/>
  <c r="V27" i="4" s="1"/>
  <c r="U29" i="4"/>
  <c r="V29" i="4" s="1"/>
  <c r="U31" i="4"/>
  <c r="V31" i="4" s="1"/>
  <c r="U33" i="4"/>
  <c r="V33" i="4" s="1"/>
  <c r="U35" i="4"/>
  <c r="V35" i="4" s="1"/>
  <c r="U37" i="4"/>
  <c r="V37" i="4" s="1"/>
  <c r="U39" i="4"/>
  <c r="V39" i="4" s="1"/>
  <c r="U41" i="4"/>
  <c r="V41" i="4" s="1"/>
  <c r="U43" i="4"/>
  <c r="V43" i="4" s="1"/>
  <c r="U45" i="4"/>
  <c r="V45" i="4" s="1"/>
  <c r="U47" i="4"/>
  <c r="V47" i="4" s="1"/>
  <c r="U49" i="4"/>
  <c r="V49" i="4" s="1"/>
</calcChain>
</file>

<file path=xl/sharedStrings.xml><?xml version="1.0" encoding="utf-8"?>
<sst xmlns="http://schemas.openxmlformats.org/spreadsheetml/2006/main" count="126" uniqueCount="95">
  <si>
    <t>Jurisdiction</t>
  </si>
  <si>
    <t>Department</t>
  </si>
  <si>
    <t>Process ID</t>
  </si>
  <si>
    <t>Process Name</t>
  </si>
  <si>
    <t>Status</t>
  </si>
  <si>
    <t>Total Expected Timesavings</t>
  </si>
  <si>
    <t>AR</t>
  </si>
  <si>
    <t>UR</t>
  </si>
  <si>
    <t>Business
Cycle</t>
  </si>
  <si>
    <t>90Days</t>
  </si>
  <si>
    <t>30Days</t>
  </si>
  <si>
    <t>7Days</t>
  </si>
  <si>
    <t>START</t>
  </si>
  <si>
    <t>COMPLETE</t>
  </si>
  <si>
    <t>SuccessRate</t>
  </si>
  <si>
    <t>実行サイクル
判定</t>
  </si>
  <si>
    <t>成功率判定</t>
  </si>
  <si>
    <t>FLAG1</t>
  </si>
  <si>
    <t>報告者
/ Reporter</t>
  </si>
  <si>
    <t>原因カテゴリー
（自動選択）</t>
  </si>
  <si>
    <t>原因カテゴリー</t>
  </si>
  <si>
    <t>先週の対策</t>
  </si>
  <si>
    <t>CR・障害対応状況</t>
  </si>
  <si>
    <t>対策カテゴリー
/ Action</t>
  </si>
  <si>
    <t>改善予定日</t>
  </si>
  <si>
    <t>FLAG2</t>
  </si>
  <si>
    <t>カテゴリー(自動選択）</t>
  </si>
  <si>
    <t>稼働率が低い原因
/ Cause</t>
  </si>
  <si>
    <t>対策
/ Action</t>
  </si>
  <si>
    <t>対策カテゴリー</t>
  </si>
  <si>
    <t>先週の対策/ActionLastWeek</t>
  </si>
  <si>
    <t>Link</t>
  </si>
  <si>
    <t>Kibana
へのリンク</t>
  </si>
  <si>
    <t>カスタマイズ
閾値フラグ</t>
  </si>
  <si>
    <t>カスタマイズ
閾値</t>
  </si>
  <si>
    <t>カスタマイズ
閾値設定理由</t>
  </si>
  <si>
    <t>利用されていない原因
/ Cause</t>
  </si>
  <si>
    <t>対策</t>
  </si>
  <si>
    <t>対策（JP)</t>
  </si>
  <si>
    <t>対策（EN)</t>
  </si>
  <si>
    <t>稼働率が低い原因 / Cause</t>
  </si>
  <si>
    <t>カテゴリー</t>
  </si>
  <si>
    <t>A</t>
  </si>
  <si>
    <t>実行履歴がない</t>
  </si>
  <si>
    <t>A1.実行実績がない（実行サイクル変更があった）</t>
  </si>
  <si>
    <t>ユーザーアクション待ち</t>
  </si>
  <si>
    <t>A1.ユーザー要因（インプット不備）/ A1. User factor (input deficiency)</t>
  </si>
  <si>
    <t>静観/wait and see</t>
  </si>
  <si>
    <t>ユーザー要因</t>
  </si>
  <si>
    <t>2020-10-04</t>
  </si>
  <si>
    <t>B</t>
  </si>
  <si>
    <t>C200ログ対応問題</t>
  </si>
  <si>
    <t>A2.実行実績がない（破棄された）</t>
  </si>
  <si>
    <t>オートメーションチームアクション待ち</t>
  </si>
  <si>
    <t>A2.ユーザー要因（実行条件未満）/ A2. User factor (less than execution condition)</t>
  </si>
  <si>
    <t>障害対応/TrobuleShooting</t>
  </si>
  <si>
    <t>ロボット要因</t>
  </si>
  <si>
    <t>2020-10-11</t>
  </si>
  <si>
    <t>*'),timeRestore:!f,title:das_Common_Process_detail,viewMode:view)</t>
  </si>
  <si>
    <t>C</t>
  </si>
  <si>
    <t>対象外</t>
  </si>
  <si>
    <t>A3.実行実績がない（CR検討・対応中）</t>
  </si>
  <si>
    <t>対向システム対応待ち</t>
  </si>
  <si>
    <t>A3.ユーザー要因（設定、権限問題）/ A3. User factor (set, authority issues)</t>
  </si>
  <si>
    <t>CR対応/Change Request</t>
  </si>
  <si>
    <t>対向システム要因</t>
  </si>
  <si>
    <t>A4.実行実績がない（利用されていない・破棄懸念がある）</t>
  </si>
  <si>
    <t>A4.ユーザー要因（未実行）/ A4. User factor (which has not yet been executed)</t>
  </si>
  <si>
    <t>横串対応/cross-functional support</t>
  </si>
  <si>
    <t>D</t>
  </si>
  <si>
    <t>業務要因</t>
  </si>
  <si>
    <t>https://rpa-dashboard.fastretailing.com/_plugin/kibana/app/kibana?security_tenant=global#/dashboard/77b46580-9bf7-11ea-a8b6-e9141704cca0?_g=(refreshInterval:(pause:!t,value:0),time:(from:'</t>
  </si>
  <si>
    <t>B1.C200対応問題（未対応）</t>
  </si>
  <si>
    <t>B1.ロボット要因（設計不良、要件漏れ）/ B1. Robot factors (design failure, requirements leakage)</t>
  </si>
  <si>
    <t>Z</t>
  </si>
  <si>
    <t>未着手</t>
  </si>
  <si>
    <t>T15:00:00.000Z',mode:quick,to:'</t>
  </si>
  <si>
    <t>B2.C200対応問題（挿入箇所エラー）</t>
  </si>
  <si>
    <t>B2.ロボット要因（実装不備）/ B2. Robot factors (implementation deficiencies)</t>
  </si>
  <si>
    <t>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</t>
  </si>
  <si>
    <t>B3.C200対応問題（デグレ発生）</t>
  </si>
  <si>
    <t>B3.ロボット要因（インフラ問題）/ B3. Robot factors (infrastructure problems)</t>
  </si>
  <si>
    <t>C1.対象外（セキュアテナント）</t>
  </si>
  <si>
    <t>B4.ロボット要因（共通部品―GDRIVE)/ B4. Robot factors (common parts -GDRIVE)</t>
  </si>
  <si>
    <t>C2.対象外（新規リリース直後）</t>
  </si>
  <si>
    <t>B5.ロボット要因（共通部品―メール）/ . B5 robot factors (common parts - mail)</t>
  </si>
  <si>
    <t>B6.ロボット要因（不明）/ B6. Robot factor (Unknown)</t>
  </si>
  <si>
    <t>C1.対向システム要因（対向システム側の変更）/ C1. Counter system factors (change of the counter system side)</t>
  </si>
  <si>
    <t>C2.対応システム要因（システムエラー）/ C2. Correspondence system factors (system error)</t>
  </si>
  <si>
    <t>C3.対向システム要因（不明）/ C3. Counter system factors (Unknown)</t>
  </si>
  <si>
    <t>D1.業務フロー要因（業務フローの変更）/ D1. Business flow factors (change of business flow)</t>
  </si>
  <si>
    <t>D2.業務フロー要因（ビジネスエラー）/ D2. Business flow factor (Business error)</t>
  </si>
  <si>
    <t>Z1.未調査/ Z1. Uninvestigated</t>
  </si>
  <si>
    <t>Z2.調査中/ Z2. Investigation</t>
  </si>
  <si>
    <t>Z3.不明/ Z3.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</si>
</sst>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</font>
    <font>
      <sz val="10"/>
      <color theme="1"/>
      <name val="Arial"/>
    </font>
    <font>
      <sz val="12"/>
      <color rgb="FFFFFFFF"/>
      <name val="Roboto"/>
    </font>
    <font>
      <b/>
      <sz val="12"/>
      <color rgb="FFFFFFFF"/>
      <name val="Docs-Roboto"/>
    </font>
    <font>
      <sz val="12"/>
      <color rgb="FFFFFFFF"/>
      <name val="Docs-Roboto"/>
    </font>
    <font>
      <sz val="11"/>
      <color rgb="FF000000"/>
      <name val="游ゴシック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u/>
      <sz val="11"/>
      <color rgb="FF0000FF"/>
      <name val="Inconsolata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Inconsolata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sz val="6"/>
      <name val="HGGothicE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10" fontId="5" fillId="0" borderId="1" xfId="0" applyNumberFormat="1" applyFont="1" applyBorder="1" applyAlignment="1">
      <alignment horizontal="right"/>
    </xf>
    <xf numFmtId="0" fontId="6" fillId="0" borderId="1" xfId="0" applyFont="1" applyBorder="1" applyAlignment="1"/>
    <xf numFmtId="3" fontId="5" fillId="0" borderId="1" xfId="0" applyNumberFormat="1" applyFont="1" applyBorder="1" applyAlignment="1">
      <alignment horizontal="right"/>
    </xf>
    <xf numFmtId="10" fontId="1" fillId="0" borderId="0" xfId="0" applyNumberFormat="1" applyFont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/>
    <xf numFmtId="10" fontId="4" fillId="2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9" fillId="5" borderId="1" xfId="0" applyFont="1" applyFill="1" applyBorder="1"/>
    <xf numFmtId="0" fontId="10" fillId="5" borderId="0" xfId="0" applyFont="1" applyFill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3" fillId="5" borderId="0" xfId="0" applyFont="1" applyFill="1"/>
    <xf numFmtId="0" fontId="12" fillId="0" borderId="1" xfId="0" applyFont="1" applyBorder="1" applyAlignment="1"/>
    <xf numFmtId="0" fontId="12" fillId="0" borderId="0" xfId="0" applyFont="1" applyAlignment="1"/>
    <xf numFmtId="0" fontId="14" fillId="5" borderId="0" xfId="0" quotePrefix="1" applyFont="1" applyFill="1" applyAlignment="1"/>
    <xf numFmtId="0" fontId="12" fillId="0" borderId="0" xfId="0" applyFont="1"/>
    <xf numFmtId="0" fontId="14" fillId="5" borderId="0" xfId="0" applyFont="1" applyFill="1"/>
    <xf numFmtId="0" fontId="12" fillId="0" borderId="1" xfId="0" applyFont="1" applyBorder="1" applyAlignment="1"/>
    <xf numFmtId="0" fontId="15" fillId="0" borderId="0" xfId="0" applyFont="1" applyAlignment="1"/>
    <xf numFmtId="0" fontId="13" fillId="5" borderId="0" xfId="0" applyFont="1" applyFill="1" applyAlignment="1"/>
    <xf numFmtId="0" fontId="5" fillId="0" borderId="2" xfId="0" applyFont="1" applyBorder="1" applyAlignment="1"/>
    <xf numFmtId="0" fontId="6" fillId="0" borderId="3" xfId="0" applyFont="1" applyBorder="1"/>
    <xf numFmtId="0" fontId="6" fillId="0" borderId="4" xfId="0" applyFont="1" applyBorder="1"/>
  </cellXfs>
  <cellStyles count="1">
    <cellStyle name="標準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pa-dashboard.fastretailing.com/_plugin/kibana/app/kibana?security_tenant=glob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workbookViewId="0"/>
  </sheetViews>
  <sheetFormatPr defaultColWidth="14.44140625" defaultRowHeight="15.75" customHeight="1"/>
  <cols>
    <col min="2" max="2" width="44.109375" customWidth="1"/>
  </cols>
  <sheetData>
    <row r="1" spans="1:17" ht="15.7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</row>
    <row r="2" spans="1:17" ht="15.75" customHeight="1">
      <c r="A2" s="6"/>
      <c r="B2" s="6"/>
      <c r="C2" s="6"/>
      <c r="D2" s="6"/>
      <c r="E2" s="6"/>
      <c r="F2" s="7"/>
      <c r="G2" s="8"/>
      <c r="H2" s="8"/>
      <c r="I2" s="8"/>
      <c r="J2" s="7"/>
      <c r="K2" s="7"/>
      <c r="L2" s="7"/>
      <c r="M2" s="7"/>
      <c r="N2" s="7"/>
      <c r="O2" s="9"/>
      <c r="P2" s="6"/>
      <c r="Q2" s="6"/>
    </row>
    <row r="3" spans="1:17" ht="15.75" customHeight="1">
      <c r="A3" s="6"/>
      <c r="B3" s="6"/>
      <c r="C3" s="6"/>
      <c r="D3" s="6"/>
      <c r="E3" s="6"/>
      <c r="F3" s="7"/>
      <c r="G3" s="8"/>
      <c r="H3" s="8"/>
      <c r="I3" s="8"/>
      <c r="J3" s="7"/>
      <c r="K3" s="7"/>
      <c r="L3" s="7"/>
      <c r="M3" s="7"/>
      <c r="N3" s="7"/>
      <c r="O3" s="9"/>
      <c r="P3" s="6"/>
      <c r="Q3" s="6"/>
    </row>
    <row r="4" spans="1:17" ht="15.75" customHeight="1">
      <c r="A4" s="6"/>
      <c r="B4" s="6"/>
      <c r="C4" s="6"/>
      <c r="D4" s="6"/>
      <c r="E4" s="6"/>
      <c r="F4" s="7"/>
      <c r="G4" s="8"/>
      <c r="H4" s="8"/>
      <c r="I4" s="8"/>
      <c r="J4" s="7"/>
      <c r="K4" s="7"/>
      <c r="L4" s="7"/>
      <c r="M4" s="7"/>
      <c r="N4" s="7"/>
      <c r="O4" s="9"/>
      <c r="P4" s="6"/>
      <c r="Q4" s="6"/>
    </row>
    <row r="5" spans="1:17" ht="15.75" customHeight="1">
      <c r="A5" s="6"/>
      <c r="B5" s="6"/>
      <c r="C5" s="6"/>
      <c r="D5" s="6"/>
      <c r="E5" s="6"/>
      <c r="F5" s="7"/>
      <c r="G5" s="8"/>
      <c r="H5" s="8"/>
      <c r="I5" s="8"/>
      <c r="J5" s="7"/>
      <c r="K5" s="7"/>
      <c r="L5" s="7"/>
      <c r="M5" s="7"/>
      <c r="N5" s="7"/>
      <c r="O5" s="9"/>
      <c r="P5" s="6"/>
      <c r="Q5" s="6"/>
    </row>
    <row r="6" spans="1:17" ht="15.75" customHeight="1">
      <c r="A6" s="6"/>
      <c r="B6" s="6"/>
      <c r="C6" s="6"/>
      <c r="D6" s="6"/>
      <c r="E6" s="6"/>
      <c r="F6" s="7"/>
      <c r="G6" s="8"/>
      <c r="H6" s="8"/>
      <c r="I6" s="8"/>
      <c r="J6" s="7"/>
      <c r="K6" s="7"/>
      <c r="L6" s="7"/>
      <c r="M6" s="7"/>
      <c r="N6" s="7"/>
      <c r="O6" s="9"/>
      <c r="P6" s="6"/>
      <c r="Q6" s="10"/>
    </row>
    <row r="7" spans="1:17" ht="15.75" customHeight="1">
      <c r="A7" s="6"/>
      <c r="B7" s="6"/>
      <c r="C7" s="6"/>
      <c r="D7" s="6"/>
      <c r="E7" s="6"/>
      <c r="F7" s="7"/>
      <c r="G7" s="8"/>
      <c r="H7" s="8"/>
      <c r="I7" s="8"/>
      <c r="J7" s="7"/>
      <c r="K7" s="7"/>
      <c r="L7" s="7"/>
      <c r="M7" s="7"/>
      <c r="N7" s="7"/>
      <c r="O7" s="9"/>
      <c r="P7" s="6"/>
      <c r="Q7" s="6"/>
    </row>
    <row r="8" spans="1:17" ht="15.75" customHeight="1">
      <c r="A8" s="6"/>
      <c r="B8" s="6"/>
      <c r="C8" s="6"/>
      <c r="D8" s="6"/>
      <c r="E8" s="6"/>
      <c r="F8" s="7"/>
      <c r="G8" s="8"/>
      <c r="H8" s="8"/>
      <c r="I8" s="8"/>
      <c r="J8" s="7"/>
      <c r="K8" s="7"/>
      <c r="L8" s="7"/>
      <c r="M8" s="7"/>
      <c r="N8" s="7"/>
      <c r="O8" s="9"/>
      <c r="P8" s="6"/>
      <c r="Q8" s="6"/>
    </row>
    <row r="9" spans="1:17" ht="15.75" customHeight="1">
      <c r="A9" s="6"/>
      <c r="B9" s="6"/>
      <c r="C9" s="6"/>
      <c r="D9" s="6"/>
      <c r="E9" s="6"/>
      <c r="F9" s="7"/>
      <c r="G9" s="8"/>
      <c r="H9" s="8"/>
      <c r="I9" s="8"/>
      <c r="J9" s="7"/>
      <c r="K9" s="7"/>
      <c r="L9" s="7"/>
      <c r="M9" s="7"/>
      <c r="N9" s="7"/>
      <c r="O9" s="9"/>
      <c r="P9" s="6"/>
      <c r="Q9" s="6"/>
    </row>
    <row r="10" spans="1:17" ht="15.75" customHeight="1">
      <c r="A10" s="6"/>
      <c r="B10" s="6"/>
      <c r="C10" s="6"/>
      <c r="D10" s="6"/>
      <c r="E10" s="6"/>
      <c r="F10" s="7"/>
      <c r="G10" s="8"/>
      <c r="H10" s="8"/>
      <c r="I10" s="8"/>
      <c r="J10" s="7"/>
      <c r="K10" s="7"/>
      <c r="L10" s="7"/>
      <c r="M10" s="7"/>
      <c r="N10" s="7"/>
      <c r="O10" s="9"/>
      <c r="P10" s="6"/>
      <c r="Q10" s="10"/>
    </row>
    <row r="11" spans="1:17" ht="15.75" customHeight="1">
      <c r="A11" s="6"/>
      <c r="B11" s="6"/>
      <c r="C11" s="6"/>
      <c r="D11" s="6"/>
      <c r="E11" s="6"/>
      <c r="F11" s="7"/>
      <c r="G11" s="8"/>
      <c r="H11" s="8"/>
      <c r="I11" s="8"/>
      <c r="J11" s="7"/>
      <c r="K11" s="7"/>
      <c r="L11" s="7"/>
      <c r="M11" s="7"/>
      <c r="N11" s="7"/>
      <c r="O11" s="9"/>
      <c r="P11" s="6"/>
      <c r="Q11" s="6"/>
    </row>
    <row r="12" spans="1:17" ht="15.75" customHeight="1">
      <c r="A12" s="6"/>
      <c r="B12" s="6"/>
      <c r="C12" s="6"/>
      <c r="D12" s="6"/>
      <c r="E12" s="6"/>
      <c r="F12" s="7"/>
      <c r="G12" s="8"/>
      <c r="H12" s="8"/>
      <c r="I12" s="8"/>
      <c r="J12" s="7"/>
      <c r="K12" s="7"/>
      <c r="L12" s="7"/>
      <c r="M12" s="7"/>
      <c r="N12" s="7"/>
      <c r="O12" s="9"/>
      <c r="P12" s="6"/>
      <c r="Q12" s="6"/>
    </row>
    <row r="13" spans="1:17" ht="15.75" customHeight="1">
      <c r="A13" s="6"/>
      <c r="B13" s="6"/>
      <c r="C13" s="6"/>
      <c r="D13" s="6"/>
      <c r="E13" s="6"/>
      <c r="F13" s="7"/>
      <c r="G13" s="8"/>
      <c r="H13" s="8"/>
      <c r="I13" s="8"/>
      <c r="J13" s="7"/>
      <c r="K13" s="7"/>
      <c r="L13" s="7"/>
      <c r="M13" s="7"/>
      <c r="N13" s="7"/>
      <c r="O13" s="9"/>
      <c r="P13" s="6"/>
      <c r="Q13" s="10"/>
    </row>
    <row r="14" spans="1:17" ht="15.75" customHeight="1">
      <c r="A14" s="6"/>
      <c r="B14" s="6"/>
      <c r="C14" s="6"/>
      <c r="D14" s="6"/>
      <c r="E14" s="6"/>
      <c r="F14" s="7"/>
      <c r="G14" s="8"/>
      <c r="H14" s="8"/>
      <c r="I14" s="8"/>
      <c r="J14" s="7"/>
      <c r="K14" s="7"/>
      <c r="L14" s="7"/>
      <c r="M14" s="7"/>
      <c r="N14" s="7"/>
      <c r="O14" s="9"/>
      <c r="P14" s="6"/>
      <c r="Q14" s="10"/>
    </row>
    <row r="15" spans="1:17" ht="15.75" customHeight="1">
      <c r="A15" s="6"/>
      <c r="B15" s="6"/>
      <c r="C15" s="6"/>
      <c r="D15" s="6"/>
      <c r="E15" s="6"/>
      <c r="F15" s="7"/>
      <c r="G15" s="8"/>
      <c r="H15" s="8"/>
      <c r="I15" s="8"/>
      <c r="J15" s="7"/>
      <c r="K15" s="7"/>
      <c r="L15" s="7"/>
      <c r="M15" s="7"/>
      <c r="N15" s="7"/>
      <c r="O15" s="9"/>
      <c r="P15" s="6"/>
      <c r="Q15" s="10"/>
    </row>
    <row r="16" spans="1:17" ht="15.75" customHeight="1">
      <c r="A16" s="6"/>
      <c r="B16" s="6"/>
      <c r="C16" s="6"/>
      <c r="D16" s="6"/>
      <c r="E16" s="6"/>
      <c r="F16" s="7"/>
      <c r="G16" s="8"/>
      <c r="H16" s="8"/>
      <c r="I16" s="8"/>
      <c r="J16" s="7"/>
      <c r="K16" s="7"/>
      <c r="L16" s="7"/>
      <c r="M16" s="7"/>
      <c r="N16" s="7"/>
      <c r="O16" s="9"/>
      <c r="P16" s="6"/>
      <c r="Q16" s="6"/>
    </row>
    <row r="17" spans="1:17" ht="15.75" customHeight="1">
      <c r="A17" s="6"/>
      <c r="B17" s="6"/>
      <c r="C17" s="6"/>
      <c r="D17" s="6"/>
      <c r="E17" s="6"/>
      <c r="F17" s="7"/>
      <c r="G17" s="8"/>
      <c r="H17" s="8"/>
      <c r="I17" s="8"/>
      <c r="J17" s="7"/>
      <c r="K17" s="7"/>
      <c r="L17" s="7"/>
      <c r="M17" s="7"/>
      <c r="N17" s="7"/>
      <c r="O17" s="9"/>
      <c r="P17" s="6"/>
      <c r="Q17" s="10"/>
    </row>
    <row r="18" spans="1:17" ht="15.75" customHeight="1">
      <c r="A18" s="6"/>
      <c r="B18" s="6"/>
      <c r="C18" s="6"/>
      <c r="D18" s="6"/>
      <c r="E18" s="6"/>
      <c r="F18" s="7"/>
      <c r="G18" s="8"/>
      <c r="H18" s="8"/>
      <c r="I18" s="8"/>
      <c r="J18" s="7"/>
      <c r="K18" s="7"/>
      <c r="L18" s="7"/>
      <c r="M18" s="7"/>
      <c r="N18" s="7"/>
      <c r="O18" s="9"/>
      <c r="P18" s="6"/>
      <c r="Q18" s="10"/>
    </row>
    <row r="19" spans="1:17" ht="15.75" customHeight="1">
      <c r="A19" s="6"/>
      <c r="B19" s="6"/>
      <c r="C19" s="6"/>
      <c r="D19" s="6"/>
      <c r="E19" s="6"/>
      <c r="F19" s="7"/>
      <c r="G19" s="8"/>
      <c r="H19" s="8"/>
      <c r="I19" s="8"/>
      <c r="J19" s="7"/>
      <c r="K19" s="7"/>
      <c r="L19" s="7"/>
      <c r="M19" s="7"/>
      <c r="N19" s="7"/>
      <c r="O19" s="9"/>
      <c r="P19" s="6"/>
      <c r="Q19" s="6"/>
    </row>
    <row r="20" spans="1:17" ht="15.75" customHeight="1">
      <c r="A20" s="6"/>
      <c r="B20" s="6"/>
      <c r="C20" s="6"/>
      <c r="D20" s="6"/>
      <c r="E20" s="6"/>
      <c r="F20" s="7"/>
      <c r="G20" s="8"/>
      <c r="H20" s="8"/>
      <c r="I20" s="8"/>
      <c r="J20" s="7"/>
      <c r="K20" s="7"/>
      <c r="L20" s="7"/>
      <c r="M20" s="7"/>
      <c r="N20" s="7"/>
      <c r="O20" s="9"/>
      <c r="P20" s="6"/>
      <c r="Q20" s="6"/>
    </row>
    <row r="21" spans="1:17" ht="15.75" customHeight="1">
      <c r="A21" s="6"/>
      <c r="B21" s="6"/>
      <c r="C21" s="6"/>
      <c r="D21" s="6"/>
      <c r="E21" s="6"/>
      <c r="F21" s="7"/>
      <c r="G21" s="8"/>
      <c r="H21" s="8"/>
      <c r="I21" s="8"/>
      <c r="J21" s="7"/>
      <c r="K21" s="7"/>
      <c r="L21" s="7"/>
      <c r="M21" s="7"/>
      <c r="N21" s="7"/>
      <c r="O21" s="9"/>
      <c r="P21" s="6"/>
      <c r="Q21" s="6"/>
    </row>
    <row r="22" spans="1:17" ht="15.75" customHeight="1">
      <c r="A22" s="6"/>
      <c r="B22" s="6"/>
      <c r="C22" s="6"/>
      <c r="D22" s="6"/>
      <c r="E22" s="6"/>
      <c r="F22" s="7"/>
      <c r="G22" s="8"/>
      <c r="H22" s="6"/>
      <c r="I22" s="6"/>
      <c r="J22" s="7"/>
      <c r="K22" s="7"/>
      <c r="L22" s="7"/>
      <c r="M22" s="7"/>
      <c r="N22" s="7"/>
      <c r="O22" s="9"/>
      <c r="P22" s="6"/>
      <c r="Q22" s="6"/>
    </row>
    <row r="23" spans="1:17" ht="15.75" customHeight="1">
      <c r="A23" s="6"/>
      <c r="B23" s="6"/>
      <c r="C23" s="6"/>
      <c r="D23" s="6"/>
      <c r="E23" s="6"/>
      <c r="F23" s="7"/>
      <c r="G23" s="8"/>
      <c r="H23" s="6"/>
      <c r="I23" s="6"/>
      <c r="J23" s="7"/>
      <c r="K23" s="7"/>
      <c r="L23" s="7"/>
      <c r="M23" s="7"/>
      <c r="N23" s="7"/>
      <c r="O23" s="9"/>
      <c r="P23" s="6"/>
      <c r="Q23" s="10"/>
    </row>
    <row r="24" spans="1:17" ht="15.75" customHeight="1">
      <c r="A24" s="6"/>
      <c r="B24" s="6"/>
      <c r="C24" s="6"/>
      <c r="D24" s="6"/>
      <c r="E24" s="6"/>
      <c r="F24" s="7"/>
      <c r="G24" s="6"/>
      <c r="H24" s="8"/>
      <c r="I24" s="8"/>
      <c r="J24" s="7"/>
      <c r="K24" s="7"/>
      <c r="L24" s="7"/>
      <c r="M24" s="7"/>
      <c r="N24" s="7"/>
      <c r="O24" s="9"/>
      <c r="P24" s="6"/>
      <c r="Q24" s="10"/>
    </row>
    <row r="25" spans="1:17" ht="15.75" customHeight="1">
      <c r="A25" s="6"/>
      <c r="B25" s="6"/>
      <c r="C25" s="6"/>
      <c r="D25" s="6"/>
      <c r="E25" s="6"/>
      <c r="F25" s="7"/>
      <c r="G25" s="6"/>
      <c r="H25" s="8"/>
      <c r="I25" s="8"/>
      <c r="J25" s="7"/>
      <c r="K25" s="7"/>
      <c r="L25" s="7"/>
      <c r="M25" s="7"/>
      <c r="N25" s="7"/>
      <c r="O25" s="9"/>
      <c r="P25" s="6"/>
      <c r="Q25" s="10"/>
    </row>
    <row r="26" spans="1:17" ht="15.75" customHeight="1">
      <c r="A26" s="6"/>
      <c r="B26" s="6"/>
      <c r="C26" s="6"/>
      <c r="D26" s="6"/>
      <c r="E26" s="6"/>
      <c r="F26" s="7"/>
      <c r="G26" s="8"/>
      <c r="H26" s="6"/>
      <c r="I26" s="6"/>
      <c r="J26" s="7"/>
      <c r="K26" s="7"/>
      <c r="L26" s="7"/>
      <c r="M26" s="7"/>
      <c r="N26" s="7"/>
      <c r="O26" s="9"/>
      <c r="P26" s="6"/>
      <c r="Q26" s="10"/>
    </row>
    <row r="27" spans="1:17" ht="15.75" customHeight="1">
      <c r="A27" s="6"/>
      <c r="B27" s="6"/>
      <c r="C27" s="6"/>
      <c r="D27" s="6"/>
      <c r="E27" s="6"/>
      <c r="F27" s="7"/>
      <c r="G27" s="8"/>
      <c r="H27" s="6"/>
      <c r="I27" s="6"/>
      <c r="J27" s="7"/>
      <c r="K27" s="7"/>
      <c r="L27" s="7"/>
      <c r="M27" s="7"/>
      <c r="N27" s="7"/>
      <c r="O27" s="9"/>
      <c r="P27" s="6"/>
      <c r="Q27" s="10"/>
    </row>
    <row r="28" spans="1:17" ht="15.75" customHeight="1">
      <c r="A28" s="6"/>
      <c r="B28" s="6"/>
      <c r="C28" s="6"/>
      <c r="D28" s="6"/>
      <c r="E28" s="6"/>
      <c r="F28" s="7"/>
      <c r="G28" s="8"/>
      <c r="H28" s="6"/>
      <c r="I28" s="6"/>
      <c r="J28" s="7"/>
      <c r="K28" s="7"/>
      <c r="L28" s="7"/>
      <c r="M28" s="7"/>
      <c r="N28" s="7"/>
      <c r="O28" s="9"/>
      <c r="P28" s="6"/>
      <c r="Q28" s="10"/>
    </row>
    <row r="29" spans="1:17" ht="15.75" customHeight="1">
      <c r="A29" s="6"/>
      <c r="B29" s="6"/>
      <c r="C29" s="6"/>
      <c r="D29" s="6"/>
      <c r="E29" s="6"/>
      <c r="F29" s="7"/>
      <c r="G29" s="8"/>
      <c r="H29" s="6"/>
      <c r="I29" s="6"/>
      <c r="J29" s="7"/>
      <c r="K29" s="7"/>
      <c r="L29" s="7"/>
      <c r="M29" s="7"/>
      <c r="N29" s="7"/>
      <c r="O29" s="9"/>
      <c r="P29" s="6"/>
      <c r="Q29" s="10"/>
    </row>
    <row r="30" spans="1:17" ht="15.75" customHeight="1">
      <c r="A30" s="6"/>
      <c r="B30" s="6"/>
      <c r="C30" s="6"/>
      <c r="D30" s="6"/>
      <c r="E30" s="6"/>
      <c r="F30" s="7"/>
      <c r="G30" s="8"/>
      <c r="H30" s="6"/>
      <c r="I30" s="6"/>
      <c r="J30" s="7"/>
      <c r="K30" s="7"/>
      <c r="L30" s="7"/>
      <c r="M30" s="7"/>
      <c r="N30" s="7"/>
      <c r="O30" s="9"/>
      <c r="P30" s="6"/>
      <c r="Q30" s="10"/>
    </row>
    <row r="31" spans="1:17" ht="15.75" customHeight="1">
      <c r="A31" s="6"/>
      <c r="B31" s="6"/>
      <c r="C31" s="6"/>
      <c r="D31" s="6"/>
      <c r="E31" s="6"/>
      <c r="F31" s="7"/>
      <c r="G31" s="8"/>
      <c r="H31" s="6"/>
      <c r="I31" s="6"/>
      <c r="J31" s="7"/>
      <c r="K31" s="7"/>
      <c r="L31" s="7"/>
      <c r="M31" s="7"/>
      <c r="N31" s="7"/>
      <c r="O31" s="9"/>
      <c r="P31" s="6"/>
      <c r="Q31" s="10"/>
    </row>
    <row r="32" spans="1:17" ht="15.75" customHeight="1">
      <c r="A32" s="6"/>
      <c r="B32" s="6"/>
      <c r="C32" s="6"/>
      <c r="D32" s="6"/>
      <c r="E32" s="6"/>
      <c r="F32" s="7"/>
      <c r="G32" s="8"/>
      <c r="H32" s="6"/>
      <c r="I32" s="6"/>
      <c r="J32" s="7"/>
      <c r="K32" s="7"/>
      <c r="L32" s="7"/>
      <c r="M32" s="7"/>
      <c r="N32" s="7"/>
      <c r="O32" s="9"/>
      <c r="P32" s="6"/>
      <c r="Q32" s="10"/>
    </row>
    <row r="33" spans="1:17" ht="15.75" customHeight="1">
      <c r="A33" s="6"/>
      <c r="B33" s="6"/>
      <c r="C33" s="6"/>
      <c r="D33" s="6"/>
      <c r="E33" s="6"/>
      <c r="F33" s="7"/>
      <c r="G33" s="8"/>
      <c r="H33" s="8"/>
      <c r="I33" s="8"/>
      <c r="J33" s="7"/>
      <c r="K33" s="7"/>
      <c r="L33" s="7"/>
      <c r="M33" s="7"/>
      <c r="N33" s="7"/>
      <c r="O33" s="9"/>
      <c r="P33" s="6"/>
      <c r="Q33" s="10"/>
    </row>
    <row r="34" spans="1:17" ht="15.75" customHeight="1">
      <c r="A34" s="6"/>
      <c r="B34" s="6"/>
      <c r="C34" s="6"/>
      <c r="D34" s="6"/>
      <c r="E34" s="6"/>
      <c r="F34" s="7"/>
      <c r="G34" s="8"/>
      <c r="H34" s="8"/>
      <c r="I34" s="8"/>
      <c r="J34" s="7"/>
      <c r="K34" s="7"/>
      <c r="L34" s="7"/>
      <c r="M34" s="7"/>
      <c r="N34" s="7"/>
      <c r="O34" s="9"/>
      <c r="P34" s="6"/>
      <c r="Q34" s="10"/>
    </row>
    <row r="35" spans="1:17" ht="15.75" customHeight="1">
      <c r="A35" s="6"/>
      <c r="B35" s="6"/>
      <c r="C35" s="6"/>
      <c r="D35" s="6"/>
      <c r="E35" s="6"/>
      <c r="F35" s="7"/>
      <c r="G35" s="8"/>
      <c r="H35" s="8"/>
      <c r="I35" s="8"/>
      <c r="J35" s="7"/>
      <c r="K35" s="7"/>
      <c r="L35" s="7"/>
      <c r="M35" s="7"/>
      <c r="N35" s="7"/>
      <c r="O35" s="9"/>
      <c r="P35" s="6"/>
      <c r="Q35" s="6"/>
    </row>
    <row r="36" spans="1:17" ht="15.75" customHeight="1">
      <c r="A36" s="6"/>
      <c r="B36" s="6"/>
      <c r="C36" s="6"/>
      <c r="D36" s="6"/>
      <c r="E36" s="6"/>
      <c r="F36" s="7"/>
      <c r="G36" s="8"/>
      <c r="H36" s="8"/>
      <c r="I36" s="8"/>
      <c r="J36" s="7"/>
      <c r="K36" s="7"/>
      <c r="L36" s="7"/>
      <c r="M36" s="7"/>
      <c r="N36" s="7"/>
      <c r="O36" s="9"/>
      <c r="P36" s="6"/>
      <c r="Q36" s="6"/>
    </row>
    <row r="37" spans="1:17" ht="15.75" customHeight="1">
      <c r="A37" s="6"/>
      <c r="B37" s="6"/>
      <c r="C37" s="6"/>
      <c r="D37" s="6"/>
      <c r="E37" s="6"/>
      <c r="F37" s="7"/>
      <c r="G37" s="8"/>
      <c r="H37" s="6"/>
      <c r="I37" s="6"/>
      <c r="J37" s="7"/>
      <c r="K37" s="7"/>
      <c r="L37" s="7"/>
      <c r="M37" s="7"/>
      <c r="N37" s="7"/>
      <c r="O37" s="9"/>
      <c r="P37" s="6"/>
      <c r="Q37" s="6"/>
    </row>
    <row r="38" spans="1:17" ht="15.75" customHeight="1">
      <c r="A38" s="6"/>
      <c r="B38" s="6"/>
      <c r="C38" s="6"/>
      <c r="D38" s="6"/>
      <c r="E38" s="6"/>
      <c r="F38" s="7"/>
      <c r="G38" s="8"/>
      <c r="H38" s="6"/>
      <c r="I38" s="6"/>
      <c r="J38" s="7"/>
      <c r="K38" s="7"/>
      <c r="L38" s="7"/>
      <c r="M38" s="7"/>
      <c r="N38" s="7"/>
      <c r="O38" s="9"/>
      <c r="P38" s="6"/>
      <c r="Q38" s="6"/>
    </row>
    <row r="39" spans="1:17" ht="15.75" customHeight="1">
      <c r="A39" s="6"/>
      <c r="B39" s="6"/>
      <c r="C39" s="6"/>
      <c r="D39" s="6"/>
      <c r="E39" s="6"/>
      <c r="F39" s="7"/>
      <c r="G39" s="8"/>
      <c r="H39" s="6"/>
      <c r="I39" s="6"/>
      <c r="J39" s="7"/>
      <c r="K39" s="7"/>
      <c r="L39" s="7"/>
      <c r="M39" s="7"/>
      <c r="N39" s="7"/>
      <c r="O39" s="9"/>
      <c r="P39" s="6"/>
      <c r="Q39" s="6"/>
    </row>
    <row r="40" spans="1:17" ht="15.75" customHeight="1">
      <c r="A40" s="6"/>
      <c r="B40" s="6"/>
      <c r="C40" s="6"/>
      <c r="D40" s="6"/>
      <c r="E40" s="6"/>
      <c r="F40" s="7"/>
      <c r="G40" s="6"/>
      <c r="H40" s="8"/>
      <c r="I40" s="8"/>
      <c r="J40" s="7"/>
      <c r="K40" s="7"/>
      <c r="L40" s="7"/>
      <c r="M40" s="7"/>
      <c r="N40" s="7"/>
      <c r="O40" s="9"/>
      <c r="P40" s="6"/>
      <c r="Q40" s="6"/>
    </row>
    <row r="41" spans="1:17" ht="18">
      <c r="A41" s="6"/>
      <c r="B41" s="6"/>
      <c r="C41" s="6"/>
      <c r="D41" s="6"/>
      <c r="E41" s="6"/>
      <c r="F41" s="7"/>
      <c r="G41" s="8"/>
      <c r="H41" s="6"/>
      <c r="I41" s="6"/>
      <c r="J41" s="7"/>
      <c r="K41" s="7"/>
      <c r="L41" s="7"/>
      <c r="M41" s="7"/>
      <c r="N41" s="7"/>
      <c r="O41" s="9"/>
      <c r="P41" s="6"/>
      <c r="Q41" s="6"/>
    </row>
    <row r="42" spans="1:17" ht="18">
      <c r="A42" s="6"/>
      <c r="B42" s="6"/>
      <c r="C42" s="6"/>
      <c r="D42" s="6"/>
      <c r="E42" s="6"/>
      <c r="F42" s="7"/>
      <c r="G42" s="8"/>
      <c r="H42" s="6"/>
      <c r="I42" s="6"/>
      <c r="J42" s="7"/>
      <c r="K42" s="7"/>
      <c r="L42" s="7"/>
      <c r="M42" s="7"/>
      <c r="N42" s="7"/>
      <c r="O42" s="9"/>
      <c r="P42" s="6"/>
      <c r="Q42" s="10"/>
    </row>
    <row r="43" spans="1:17" ht="18">
      <c r="A43" s="6"/>
      <c r="B43" s="6"/>
      <c r="C43" s="6"/>
      <c r="D43" s="6"/>
      <c r="E43" s="6"/>
      <c r="F43" s="7"/>
      <c r="G43" s="6"/>
      <c r="H43" s="8"/>
      <c r="I43" s="8"/>
      <c r="J43" s="7"/>
      <c r="K43" s="7"/>
      <c r="L43" s="7"/>
      <c r="M43" s="7"/>
      <c r="N43" s="7"/>
      <c r="O43" s="9"/>
      <c r="P43" s="6"/>
      <c r="Q43" s="10"/>
    </row>
    <row r="44" spans="1:17" ht="18">
      <c r="A44" s="6"/>
      <c r="B44" s="6"/>
      <c r="C44" s="6"/>
      <c r="D44" s="6"/>
      <c r="E44" s="6"/>
      <c r="F44" s="7"/>
      <c r="G44" s="8"/>
      <c r="H44" s="8"/>
      <c r="I44" s="8"/>
      <c r="J44" s="7"/>
      <c r="K44" s="7"/>
      <c r="L44" s="7"/>
      <c r="M44" s="7"/>
      <c r="N44" s="7"/>
      <c r="O44" s="9"/>
      <c r="P44" s="6"/>
      <c r="Q44" s="6"/>
    </row>
    <row r="45" spans="1:17" ht="18">
      <c r="A45" s="6"/>
      <c r="B45" s="6"/>
      <c r="C45" s="6"/>
      <c r="D45" s="6"/>
      <c r="E45" s="6"/>
      <c r="F45" s="7"/>
      <c r="G45" s="8"/>
      <c r="H45" s="6"/>
      <c r="I45" s="6"/>
      <c r="J45" s="7"/>
      <c r="K45" s="7"/>
      <c r="L45" s="7"/>
      <c r="M45" s="7"/>
      <c r="N45" s="7"/>
      <c r="O45" s="9"/>
      <c r="P45" s="6"/>
      <c r="Q45" s="10"/>
    </row>
    <row r="46" spans="1:17" ht="18">
      <c r="A46" s="6"/>
      <c r="B46" s="6"/>
      <c r="C46" s="6"/>
      <c r="D46" s="6"/>
      <c r="E46" s="6"/>
      <c r="F46" s="7"/>
      <c r="G46" s="8"/>
      <c r="H46" s="6"/>
      <c r="I46" s="6"/>
      <c r="J46" s="7"/>
      <c r="K46" s="7"/>
      <c r="L46" s="7"/>
      <c r="M46" s="7"/>
      <c r="N46" s="7"/>
      <c r="O46" s="9"/>
      <c r="P46" s="6"/>
      <c r="Q46" s="6"/>
    </row>
    <row r="47" spans="1:17" ht="18">
      <c r="A47" s="6"/>
      <c r="B47" s="6"/>
      <c r="C47" s="6"/>
      <c r="D47" s="6"/>
      <c r="E47" s="6"/>
      <c r="F47" s="7"/>
      <c r="G47" s="8"/>
      <c r="H47" s="6"/>
      <c r="I47" s="6"/>
      <c r="J47" s="7"/>
      <c r="K47" s="7"/>
      <c r="L47" s="7"/>
      <c r="M47" s="7"/>
      <c r="N47" s="7"/>
      <c r="O47" s="9"/>
      <c r="P47" s="6"/>
      <c r="Q47" s="6"/>
    </row>
    <row r="48" spans="1:17" ht="18">
      <c r="A48" s="6"/>
      <c r="B48" s="6"/>
      <c r="C48" s="6"/>
      <c r="D48" s="6"/>
      <c r="E48" s="6"/>
      <c r="F48" s="7"/>
      <c r="G48" s="8"/>
      <c r="H48" s="6"/>
      <c r="I48" s="6"/>
      <c r="J48" s="7"/>
      <c r="K48" s="7"/>
      <c r="L48" s="7"/>
      <c r="M48" s="7"/>
      <c r="N48" s="7"/>
      <c r="O48" s="9"/>
      <c r="P48" s="6"/>
      <c r="Q48" s="6"/>
    </row>
    <row r="49" spans="1:17" ht="18">
      <c r="A49" s="6"/>
      <c r="B49" s="6"/>
      <c r="C49" s="6"/>
      <c r="D49" s="6"/>
      <c r="E49" s="6"/>
      <c r="F49" s="7"/>
      <c r="G49" s="8"/>
      <c r="H49" s="6"/>
      <c r="I49" s="6"/>
      <c r="J49" s="7"/>
      <c r="K49" s="7"/>
      <c r="L49" s="7"/>
      <c r="M49" s="7"/>
      <c r="N49" s="7"/>
      <c r="O49" s="9"/>
      <c r="P49" s="6"/>
      <c r="Q49" s="6"/>
    </row>
    <row r="50" spans="1:17" ht="18">
      <c r="A50" s="6"/>
      <c r="B50" s="6"/>
      <c r="C50" s="6"/>
      <c r="D50" s="6"/>
      <c r="E50" s="6"/>
      <c r="F50" s="7"/>
      <c r="G50" s="8"/>
      <c r="H50" s="6"/>
      <c r="I50" s="6"/>
      <c r="J50" s="7"/>
      <c r="K50" s="7"/>
      <c r="L50" s="7"/>
      <c r="M50" s="7"/>
      <c r="N50" s="7"/>
      <c r="O50" s="9"/>
      <c r="P50" s="6"/>
      <c r="Q50" s="6"/>
    </row>
    <row r="51" spans="1:17" ht="18">
      <c r="A51" s="6"/>
      <c r="B51" s="6"/>
      <c r="C51" s="6"/>
      <c r="D51" s="6"/>
      <c r="E51" s="6"/>
      <c r="F51" s="7"/>
      <c r="G51" s="8"/>
      <c r="H51" s="6"/>
      <c r="I51" s="6"/>
      <c r="J51" s="7"/>
      <c r="K51" s="7"/>
      <c r="L51" s="7"/>
      <c r="M51" s="7"/>
      <c r="N51" s="7"/>
      <c r="O51" s="9"/>
      <c r="P51" s="6"/>
      <c r="Q51" s="6"/>
    </row>
    <row r="52" spans="1:17" ht="18">
      <c r="A52" s="6"/>
      <c r="B52" s="6"/>
      <c r="C52" s="6"/>
      <c r="D52" s="6"/>
      <c r="E52" s="6"/>
      <c r="F52" s="7"/>
      <c r="G52" s="8"/>
      <c r="H52" s="6"/>
      <c r="I52" s="6"/>
      <c r="J52" s="7"/>
      <c r="K52" s="7"/>
      <c r="L52" s="7"/>
      <c r="M52" s="7"/>
      <c r="N52" s="7"/>
      <c r="O52" s="9"/>
      <c r="P52" s="6"/>
      <c r="Q52" s="6"/>
    </row>
    <row r="53" spans="1:17" ht="18">
      <c r="A53" s="6"/>
      <c r="B53" s="6"/>
      <c r="C53" s="6"/>
      <c r="D53" s="6"/>
      <c r="E53" s="6"/>
      <c r="F53" s="7"/>
      <c r="G53" s="8"/>
      <c r="H53" s="6"/>
      <c r="I53" s="6"/>
      <c r="J53" s="7"/>
      <c r="K53" s="7"/>
      <c r="L53" s="7"/>
      <c r="M53" s="7"/>
      <c r="N53" s="7"/>
      <c r="O53" s="9"/>
      <c r="P53" s="6"/>
      <c r="Q53" s="6"/>
    </row>
    <row r="54" spans="1:17" ht="18">
      <c r="A54" s="6"/>
      <c r="B54" s="6"/>
      <c r="C54" s="6"/>
      <c r="D54" s="6"/>
      <c r="E54" s="6"/>
      <c r="F54" s="7"/>
      <c r="G54" s="8"/>
      <c r="H54" s="6"/>
      <c r="I54" s="6"/>
      <c r="J54" s="7"/>
      <c r="K54" s="7"/>
      <c r="L54" s="7"/>
      <c r="M54" s="7"/>
      <c r="N54" s="7"/>
      <c r="O54" s="9"/>
      <c r="P54" s="6"/>
      <c r="Q54" s="6"/>
    </row>
    <row r="55" spans="1:17" ht="18">
      <c r="A55" s="6"/>
      <c r="B55" s="6"/>
      <c r="C55" s="6"/>
      <c r="D55" s="6"/>
      <c r="E55" s="6"/>
      <c r="F55" s="7"/>
      <c r="G55" s="8"/>
      <c r="H55" s="6"/>
      <c r="I55" s="6"/>
      <c r="J55" s="7"/>
      <c r="K55" s="7"/>
      <c r="L55" s="7"/>
      <c r="M55" s="7"/>
      <c r="N55" s="7"/>
      <c r="O55" s="9"/>
      <c r="P55" s="6"/>
      <c r="Q55" s="6"/>
    </row>
    <row r="56" spans="1:17" ht="18">
      <c r="A56" s="6"/>
      <c r="B56" s="6"/>
      <c r="C56" s="6"/>
      <c r="D56" s="6"/>
      <c r="E56" s="6"/>
      <c r="F56" s="7"/>
      <c r="G56" s="8"/>
      <c r="H56" s="6"/>
      <c r="I56" s="6"/>
      <c r="J56" s="7"/>
      <c r="K56" s="7"/>
      <c r="L56" s="7"/>
      <c r="M56" s="7"/>
      <c r="N56" s="7"/>
      <c r="O56" s="9"/>
      <c r="P56" s="6"/>
      <c r="Q56" s="6"/>
    </row>
    <row r="57" spans="1:17" ht="18">
      <c r="A57" s="6"/>
      <c r="B57" s="6"/>
      <c r="C57" s="6"/>
      <c r="D57" s="6"/>
      <c r="E57" s="6"/>
      <c r="F57" s="7"/>
      <c r="G57" s="8"/>
      <c r="H57" s="6"/>
      <c r="I57" s="6"/>
      <c r="J57" s="7"/>
      <c r="K57" s="7"/>
      <c r="L57" s="7"/>
      <c r="M57" s="7"/>
      <c r="N57" s="7"/>
      <c r="O57" s="9"/>
      <c r="P57" s="6"/>
      <c r="Q57" s="6"/>
    </row>
    <row r="58" spans="1:17" ht="18">
      <c r="A58" s="6"/>
      <c r="B58" s="6"/>
      <c r="C58" s="6"/>
      <c r="D58" s="6"/>
      <c r="E58" s="6"/>
      <c r="F58" s="7"/>
      <c r="G58" s="8"/>
      <c r="H58" s="6"/>
      <c r="I58" s="6"/>
      <c r="J58" s="7"/>
      <c r="K58" s="7"/>
      <c r="L58" s="7"/>
      <c r="M58" s="7"/>
      <c r="N58" s="7"/>
      <c r="O58" s="9"/>
      <c r="P58" s="6"/>
      <c r="Q58" s="6"/>
    </row>
    <row r="59" spans="1:17" ht="18">
      <c r="A59" s="6"/>
      <c r="B59" s="6"/>
      <c r="C59" s="6"/>
      <c r="D59" s="6"/>
      <c r="E59" s="6"/>
      <c r="F59" s="7"/>
      <c r="G59" s="8"/>
      <c r="H59" s="6"/>
      <c r="I59" s="6"/>
      <c r="J59" s="7"/>
      <c r="K59" s="7"/>
      <c r="L59" s="7"/>
      <c r="M59" s="7"/>
      <c r="N59" s="7"/>
      <c r="O59" s="9"/>
      <c r="P59" s="6"/>
      <c r="Q59" s="6"/>
    </row>
    <row r="60" spans="1:17" ht="18">
      <c r="A60" s="6"/>
      <c r="B60" s="6"/>
      <c r="C60" s="6"/>
      <c r="D60" s="6"/>
      <c r="E60" s="6"/>
      <c r="F60" s="7"/>
      <c r="G60" s="8"/>
      <c r="H60" s="6"/>
      <c r="I60" s="6"/>
      <c r="J60" s="7"/>
      <c r="K60" s="7"/>
      <c r="L60" s="7"/>
      <c r="M60" s="7"/>
      <c r="N60" s="7"/>
      <c r="O60" s="9"/>
      <c r="P60" s="6"/>
      <c r="Q60" s="6"/>
    </row>
    <row r="61" spans="1:17" ht="18">
      <c r="A61" s="6"/>
      <c r="B61" s="6"/>
      <c r="C61" s="6"/>
      <c r="D61" s="6"/>
      <c r="E61" s="6"/>
      <c r="F61" s="7"/>
      <c r="G61" s="8"/>
      <c r="H61" s="6"/>
      <c r="I61" s="6"/>
      <c r="J61" s="7"/>
      <c r="K61" s="7"/>
      <c r="L61" s="7"/>
      <c r="M61" s="7"/>
      <c r="N61" s="7"/>
      <c r="O61" s="9"/>
      <c r="P61" s="6"/>
      <c r="Q61" s="6"/>
    </row>
    <row r="62" spans="1:17" ht="18">
      <c r="A62" s="6"/>
      <c r="B62" s="6"/>
      <c r="C62" s="6"/>
      <c r="D62" s="6"/>
      <c r="E62" s="6"/>
      <c r="F62" s="7"/>
      <c r="G62" s="8"/>
      <c r="H62" s="6"/>
      <c r="I62" s="6"/>
      <c r="J62" s="7"/>
      <c r="K62" s="7"/>
      <c r="L62" s="7"/>
      <c r="M62" s="7"/>
      <c r="N62" s="7"/>
      <c r="O62" s="9"/>
      <c r="P62" s="6"/>
      <c r="Q62" s="6"/>
    </row>
    <row r="63" spans="1:17" ht="18">
      <c r="A63" s="6"/>
      <c r="B63" s="6"/>
      <c r="C63" s="6"/>
      <c r="D63" s="6"/>
      <c r="E63" s="6"/>
      <c r="F63" s="7"/>
      <c r="G63" s="8"/>
      <c r="H63" s="6"/>
      <c r="I63" s="6"/>
      <c r="J63" s="7"/>
      <c r="K63" s="7"/>
      <c r="L63" s="7"/>
      <c r="M63" s="7"/>
      <c r="N63" s="7"/>
      <c r="O63" s="9"/>
      <c r="P63" s="6"/>
      <c r="Q63" s="6"/>
    </row>
    <row r="64" spans="1:17" ht="18">
      <c r="A64" s="6"/>
      <c r="B64" s="6"/>
      <c r="C64" s="6"/>
      <c r="D64" s="6"/>
      <c r="E64" s="6"/>
      <c r="F64" s="7"/>
      <c r="G64" s="8"/>
      <c r="H64" s="8"/>
      <c r="I64" s="8"/>
      <c r="J64" s="7"/>
      <c r="K64" s="7"/>
      <c r="L64" s="7"/>
      <c r="M64" s="7"/>
      <c r="N64" s="7"/>
      <c r="O64" s="9"/>
      <c r="P64" s="6"/>
      <c r="Q64" s="6"/>
    </row>
    <row r="65" spans="1:17" ht="18">
      <c r="A65" s="6"/>
      <c r="B65" s="6"/>
      <c r="C65" s="6"/>
      <c r="D65" s="6"/>
      <c r="E65" s="6"/>
      <c r="F65" s="7"/>
      <c r="G65" s="8"/>
      <c r="H65" s="8"/>
      <c r="I65" s="8"/>
      <c r="J65" s="7"/>
      <c r="K65" s="7"/>
      <c r="L65" s="7"/>
      <c r="M65" s="7"/>
      <c r="N65" s="7"/>
      <c r="O65" s="9"/>
      <c r="P65" s="6"/>
      <c r="Q65" s="6"/>
    </row>
    <row r="66" spans="1:17" ht="18">
      <c r="A66" s="6"/>
      <c r="B66" s="6"/>
      <c r="C66" s="6"/>
      <c r="D66" s="6"/>
      <c r="E66" s="6"/>
      <c r="F66" s="7"/>
      <c r="G66" s="8"/>
      <c r="H66" s="8"/>
      <c r="I66" s="8"/>
      <c r="J66" s="7"/>
      <c r="K66" s="7"/>
      <c r="L66" s="7"/>
      <c r="M66" s="7"/>
      <c r="N66" s="7"/>
      <c r="O66" s="9"/>
      <c r="P66" s="6"/>
      <c r="Q66" s="6"/>
    </row>
    <row r="67" spans="1:17" ht="18">
      <c r="A67" s="6"/>
      <c r="B67" s="6"/>
      <c r="C67" s="6"/>
      <c r="D67" s="6"/>
      <c r="E67" s="6"/>
      <c r="F67" s="7"/>
      <c r="G67" s="8"/>
      <c r="H67" s="8"/>
      <c r="I67" s="8"/>
      <c r="J67" s="7"/>
      <c r="K67" s="7"/>
      <c r="L67" s="7"/>
      <c r="M67" s="7"/>
      <c r="N67" s="7"/>
      <c r="O67" s="9"/>
      <c r="P67" s="6"/>
      <c r="Q67" s="6"/>
    </row>
    <row r="68" spans="1:17" ht="18">
      <c r="A68" s="6"/>
      <c r="B68" s="6"/>
      <c r="C68" s="6"/>
      <c r="D68" s="6"/>
      <c r="E68" s="6"/>
      <c r="F68" s="7"/>
      <c r="G68" s="8"/>
      <c r="H68" s="8"/>
      <c r="I68" s="8"/>
      <c r="J68" s="7"/>
      <c r="K68" s="7"/>
      <c r="L68" s="7"/>
      <c r="M68" s="7"/>
      <c r="N68" s="7"/>
      <c r="O68" s="9"/>
      <c r="P68" s="6"/>
      <c r="Q68" s="6"/>
    </row>
    <row r="69" spans="1:17" ht="18">
      <c r="A69" s="6"/>
      <c r="B69" s="6"/>
      <c r="C69" s="6"/>
      <c r="D69" s="6"/>
      <c r="E69" s="6"/>
      <c r="F69" s="7"/>
      <c r="G69" s="8"/>
      <c r="H69" s="8"/>
      <c r="I69" s="8"/>
      <c r="J69" s="7"/>
      <c r="K69" s="7"/>
      <c r="L69" s="7"/>
      <c r="M69" s="7"/>
      <c r="N69" s="7"/>
      <c r="O69" s="9"/>
      <c r="P69" s="6"/>
      <c r="Q69" s="6"/>
    </row>
    <row r="70" spans="1:17" ht="18">
      <c r="A70" s="6"/>
      <c r="B70" s="6"/>
      <c r="C70" s="6"/>
      <c r="D70" s="6"/>
      <c r="E70" s="6"/>
      <c r="F70" s="7"/>
      <c r="G70" s="8"/>
      <c r="H70" s="8"/>
      <c r="I70" s="8"/>
      <c r="J70" s="7"/>
      <c r="K70" s="7"/>
      <c r="L70" s="7"/>
      <c r="M70" s="7"/>
      <c r="N70" s="7"/>
      <c r="O70" s="9"/>
      <c r="P70" s="6"/>
      <c r="Q70" s="6"/>
    </row>
    <row r="71" spans="1:17" ht="18">
      <c r="A71" s="6"/>
      <c r="B71" s="6"/>
      <c r="C71" s="6"/>
      <c r="D71" s="6"/>
      <c r="E71" s="6"/>
      <c r="F71" s="7"/>
      <c r="G71" s="8"/>
      <c r="H71" s="8"/>
      <c r="I71" s="8"/>
      <c r="J71" s="7"/>
      <c r="K71" s="7"/>
      <c r="L71" s="7"/>
      <c r="M71" s="7"/>
      <c r="N71" s="7"/>
      <c r="O71" s="9"/>
      <c r="P71" s="6"/>
      <c r="Q71" s="6"/>
    </row>
    <row r="72" spans="1:17" ht="18">
      <c r="A72" s="6"/>
      <c r="B72" s="6"/>
      <c r="C72" s="6"/>
      <c r="D72" s="6"/>
      <c r="E72" s="6"/>
      <c r="F72" s="7"/>
      <c r="G72" s="8"/>
      <c r="H72" s="8"/>
      <c r="I72" s="8"/>
      <c r="J72" s="7"/>
      <c r="K72" s="7"/>
      <c r="L72" s="7"/>
      <c r="M72" s="7"/>
      <c r="N72" s="7"/>
      <c r="O72" s="9"/>
      <c r="P72" s="6"/>
      <c r="Q72" s="6"/>
    </row>
    <row r="73" spans="1:17" ht="18">
      <c r="A73" s="6"/>
      <c r="B73" s="6"/>
      <c r="C73" s="6"/>
      <c r="D73" s="6"/>
      <c r="E73" s="6"/>
      <c r="F73" s="7"/>
      <c r="G73" s="8"/>
      <c r="H73" s="8"/>
      <c r="I73" s="8"/>
      <c r="J73" s="7"/>
      <c r="K73" s="7"/>
      <c r="L73" s="7"/>
      <c r="M73" s="7"/>
      <c r="N73" s="7"/>
      <c r="O73" s="9"/>
      <c r="P73" s="6"/>
      <c r="Q73" s="10"/>
    </row>
    <row r="74" spans="1:17" ht="18">
      <c r="A74" s="6"/>
      <c r="B74" s="6"/>
      <c r="C74" s="6"/>
      <c r="D74" s="6"/>
      <c r="E74" s="6"/>
      <c r="F74" s="7"/>
      <c r="G74" s="8"/>
      <c r="H74" s="8"/>
      <c r="I74" s="8"/>
      <c r="J74" s="7"/>
      <c r="K74" s="7"/>
      <c r="L74" s="7"/>
      <c r="M74" s="7"/>
      <c r="N74" s="7"/>
      <c r="O74" s="9"/>
      <c r="P74" s="6"/>
      <c r="Q74" s="10"/>
    </row>
    <row r="75" spans="1:17" ht="18">
      <c r="A75" s="6"/>
      <c r="B75" s="6"/>
      <c r="C75" s="6"/>
      <c r="D75" s="6"/>
      <c r="E75" s="6"/>
      <c r="F75" s="7"/>
      <c r="G75" s="8"/>
      <c r="H75" s="8"/>
      <c r="I75" s="8"/>
      <c r="J75" s="7"/>
      <c r="K75" s="7"/>
      <c r="L75" s="7"/>
      <c r="M75" s="7"/>
      <c r="N75" s="7"/>
      <c r="O75" s="9"/>
      <c r="P75" s="6"/>
      <c r="Q75" s="6"/>
    </row>
    <row r="76" spans="1:17" ht="18">
      <c r="A76" s="6"/>
      <c r="B76" s="8"/>
      <c r="C76" s="6"/>
      <c r="D76" s="6"/>
      <c r="E76" s="6"/>
      <c r="F76" s="7"/>
      <c r="G76" s="6"/>
      <c r="H76" s="8"/>
      <c r="I76" s="8"/>
      <c r="J76" s="7"/>
      <c r="K76" s="7"/>
      <c r="L76" s="7"/>
      <c r="M76" s="7"/>
      <c r="N76" s="7"/>
      <c r="O76" s="9"/>
      <c r="P76" s="6"/>
      <c r="Q76" s="10"/>
    </row>
    <row r="77" spans="1:17" ht="18">
      <c r="A77" s="6"/>
      <c r="B77" s="8"/>
      <c r="C77" s="6"/>
      <c r="D77" s="6"/>
      <c r="E77" s="6"/>
      <c r="F77" s="7"/>
      <c r="G77" s="6"/>
      <c r="H77" s="8"/>
      <c r="I77" s="8"/>
      <c r="J77" s="7"/>
      <c r="K77" s="7"/>
      <c r="L77" s="7"/>
      <c r="M77" s="7"/>
      <c r="N77" s="7"/>
      <c r="O77" s="9"/>
      <c r="P77" s="6"/>
      <c r="Q77" s="6"/>
    </row>
    <row r="78" spans="1:17" ht="18">
      <c r="A78" s="6"/>
      <c r="B78" s="6"/>
      <c r="C78" s="6"/>
      <c r="D78" s="6"/>
      <c r="E78" s="6"/>
      <c r="F78" s="7"/>
      <c r="G78" s="6"/>
      <c r="H78" s="8"/>
      <c r="I78" s="6"/>
      <c r="J78" s="7"/>
      <c r="K78" s="7"/>
      <c r="L78" s="7"/>
      <c r="M78" s="7"/>
      <c r="N78" s="7"/>
      <c r="O78" s="9"/>
      <c r="P78" s="6"/>
      <c r="Q78" s="10"/>
    </row>
    <row r="79" spans="1:17" ht="18">
      <c r="A79" s="6"/>
      <c r="B79" s="6"/>
      <c r="C79" s="6"/>
      <c r="D79" s="6"/>
      <c r="E79" s="6"/>
      <c r="F79" s="7"/>
      <c r="G79" s="6"/>
      <c r="H79" s="8"/>
      <c r="I79" s="6"/>
      <c r="J79" s="7"/>
      <c r="K79" s="7"/>
      <c r="L79" s="7"/>
      <c r="M79" s="7"/>
      <c r="N79" s="7"/>
      <c r="O79" s="9"/>
      <c r="P79" s="6"/>
      <c r="Q79" s="6"/>
    </row>
    <row r="80" spans="1:17" ht="18">
      <c r="A80" s="6"/>
      <c r="B80" s="6"/>
      <c r="C80" s="6"/>
      <c r="D80" s="6"/>
      <c r="E80" s="6"/>
      <c r="F80" s="7"/>
      <c r="G80" s="8"/>
      <c r="H80" s="6"/>
      <c r="I80" s="6"/>
      <c r="J80" s="7"/>
      <c r="K80" s="7"/>
      <c r="L80" s="7"/>
      <c r="M80" s="7"/>
      <c r="N80" s="7"/>
      <c r="O80" s="9"/>
      <c r="P80" s="6"/>
      <c r="Q80" s="6"/>
    </row>
    <row r="81" spans="1:17" ht="18">
      <c r="A81" s="6"/>
      <c r="B81" s="6"/>
      <c r="C81" s="6"/>
      <c r="D81" s="6"/>
      <c r="E81" s="6"/>
      <c r="F81" s="7"/>
      <c r="G81" s="8"/>
      <c r="H81" s="6"/>
      <c r="I81" s="6"/>
      <c r="J81" s="7"/>
      <c r="K81" s="7"/>
      <c r="L81" s="7"/>
      <c r="M81" s="7"/>
      <c r="N81" s="7"/>
      <c r="O81" s="9"/>
      <c r="P81" s="6"/>
      <c r="Q81" s="6"/>
    </row>
    <row r="82" spans="1:17" ht="18">
      <c r="A82" s="6"/>
      <c r="B82" s="6"/>
      <c r="C82" s="6"/>
      <c r="D82" s="6"/>
      <c r="E82" s="6"/>
      <c r="F82" s="7"/>
      <c r="G82" s="8"/>
      <c r="H82" s="6"/>
      <c r="I82" s="6"/>
      <c r="J82" s="7"/>
      <c r="K82" s="7"/>
      <c r="L82" s="7"/>
      <c r="M82" s="7"/>
      <c r="N82" s="7"/>
      <c r="O82" s="9"/>
      <c r="P82" s="6"/>
      <c r="Q82" s="6"/>
    </row>
    <row r="83" spans="1:17" ht="18">
      <c r="A83" s="6"/>
      <c r="B83" s="6"/>
      <c r="C83" s="6"/>
      <c r="D83" s="6"/>
      <c r="E83" s="6"/>
      <c r="F83" s="7"/>
      <c r="G83" s="8"/>
      <c r="H83" s="6"/>
      <c r="I83" s="6"/>
      <c r="J83" s="7"/>
      <c r="K83" s="7"/>
      <c r="L83" s="7"/>
      <c r="M83" s="7"/>
      <c r="N83" s="7"/>
      <c r="O83" s="9"/>
      <c r="P83" s="6"/>
      <c r="Q83" s="6"/>
    </row>
    <row r="84" spans="1:17" ht="18">
      <c r="A84" s="6"/>
      <c r="B84" s="6"/>
      <c r="C84" s="6"/>
      <c r="D84" s="6"/>
      <c r="E84" s="6"/>
      <c r="F84" s="7"/>
      <c r="G84" s="8"/>
      <c r="H84" s="6"/>
      <c r="I84" s="6"/>
      <c r="J84" s="7"/>
      <c r="K84" s="7"/>
      <c r="L84" s="7"/>
      <c r="M84" s="7"/>
      <c r="N84" s="7"/>
      <c r="O84" s="9"/>
      <c r="P84" s="6"/>
      <c r="Q84" s="10"/>
    </row>
    <row r="85" spans="1:17" ht="18">
      <c r="A85" s="6"/>
      <c r="B85" s="6"/>
      <c r="C85" s="6"/>
      <c r="D85" s="6"/>
      <c r="E85" s="6"/>
      <c r="F85" s="7"/>
      <c r="G85" s="8"/>
      <c r="H85" s="8"/>
      <c r="I85" s="8"/>
      <c r="J85" s="7"/>
      <c r="K85" s="7"/>
      <c r="L85" s="7"/>
      <c r="M85" s="7"/>
      <c r="N85" s="7"/>
      <c r="O85" s="9"/>
      <c r="P85" s="6"/>
      <c r="Q85" s="6"/>
    </row>
    <row r="86" spans="1:17" ht="18">
      <c r="A86" s="6"/>
      <c r="B86" s="6"/>
      <c r="C86" s="6"/>
      <c r="D86" s="6"/>
      <c r="E86" s="6"/>
      <c r="F86" s="7"/>
      <c r="G86" s="8"/>
      <c r="H86" s="6"/>
      <c r="I86" s="6"/>
      <c r="J86" s="7"/>
      <c r="K86" s="7"/>
      <c r="L86" s="7"/>
      <c r="M86" s="7"/>
      <c r="N86" s="7"/>
      <c r="O86" s="9"/>
      <c r="P86" s="6"/>
      <c r="Q86" s="6"/>
    </row>
    <row r="87" spans="1:17" ht="18">
      <c r="A87" s="6"/>
      <c r="B87" s="6"/>
      <c r="C87" s="6"/>
      <c r="D87" s="6"/>
      <c r="E87" s="6"/>
      <c r="F87" s="7"/>
      <c r="G87" s="8"/>
      <c r="H87" s="6"/>
      <c r="I87" s="6"/>
      <c r="J87" s="7"/>
      <c r="K87" s="7"/>
      <c r="L87" s="7"/>
      <c r="M87" s="7"/>
      <c r="N87" s="7"/>
      <c r="O87" s="9"/>
      <c r="P87" s="6"/>
      <c r="Q87" s="6"/>
    </row>
    <row r="88" spans="1:17" ht="18">
      <c r="A88" s="6"/>
      <c r="B88" s="6"/>
      <c r="C88" s="6"/>
      <c r="D88" s="6"/>
      <c r="E88" s="6"/>
      <c r="F88" s="7"/>
      <c r="G88" s="8"/>
      <c r="H88" s="6"/>
      <c r="I88" s="6"/>
      <c r="J88" s="7"/>
      <c r="K88" s="7"/>
      <c r="L88" s="7"/>
      <c r="M88" s="7"/>
      <c r="N88" s="7"/>
      <c r="O88" s="9"/>
      <c r="P88" s="6"/>
      <c r="Q88" s="10"/>
    </row>
    <row r="89" spans="1:17" ht="18">
      <c r="A89" s="6"/>
      <c r="B89" s="6"/>
      <c r="C89" s="6"/>
      <c r="D89" s="6"/>
      <c r="E89" s="6"/>
      <c r="F89" s="7"/>
      <c r="G89" s="6"/>
      <c r="H89" s="8"/>
      <c r="I89" s="6"/>
      <c r="J89" s="7"/>
      <c r="K89" s="7"/>
      <c r="L89" s="7"/>
      <c r="M89" s="7"/>
      <c r="N89" s="7"/>
      <c r="O89" s="9"/>
      <c r="P89" s="6"/>
      <c r="Q89" s="10"/>
    </row>
    <row r="90" spans="1:17" ht="18">
      <c r="A90" s="6"/>
      <c r="B90" s="6"/>
      <c r="C90" s="6"/>
      <c r="D90" s="6"/>
      <c r="E90" s="6"/>
      <c r="F90" s="7"/>
      <c r="G90" s="6"/>
      <c r="H90" s="8"/>
      <c r="I90" s="6"/>
      <c r="J90" s="7"/>
      <c r="K90" s="7"/>
      <c r="L90" s="7"/>
      <c r="M90" s="7"/>
      <c r="N90" s="7"/>
      <c r="O90" s="9"/>
      <c r="P90" s="6"/>
      <c r="Q90" s="10"/>
    </row>
    <row r="91" spans="1:17" ht="18">
      <c r="A91" s="6"/>
      <c r="B91" s="6"/>
      <c r="C91" s="6"/>
      <c r="D91" s="6"/>
      <c r="E91" s="6"/>
      <c r="F91" s="7"/>
      <c r="G91" s="6"/>
      <c r="H91" s="8"/>
      <c r="I91" s="6"/>
      <c r="J91" s="7"/>
      <c r="K91" s="7"/>
      <c r="L91" s="7"/>
      <c r="M91" s="7"/>
      <c r="N91" s="7"/>
      <c r="O91" s="9"/>
      <c r="P91" s="6"/>
      <c r="Q91" s="10"/>
    </row>
    <row r="92" spans="1:17" ht="18">
      <c r="A92" s="6"/>
      <c r="B92" s="6"/>
      <c r="C92" s="6"/>
      <c r="D92" s="6"/>
      <c r="E92" s="6"/>
      <c r="F92" s="7"/>
      <c r="G92" s="6"/>
      <c r="H92" s="8"/>
      <c r="I92" s="6"/>
      <c r="J92" s="7"/>
      <c r="K92" s="7"/>
      <c r="L92" s="7"/>
      <c r="M92" s="7"/>
      <c r="N92" s="7"/>
      <c r="O92" s="9"/>
      <c r="P92" s="6"/>
      <c r="Q92" s="10"/>
    </row>
    <row r="93" spans="1:17" ht="18">
      <c r="A93" s="6"/>
      <c r="B93" s="6"/>
      <c r="C93" s="6"/>
      <c r="D93" s="6"/>
      <c r="E93" s="6"/>
      <c r="F93" s="7"/>
      <c r="G93" s="6"/>
      <c r="H93" s="8"/>
      <c r="I93" s="6"/>
      <c r="J93" s="7"/>
      <c r="K93" s="7"/>
      <c r="L93" s="7"/>
      <c r="M93" s="7"/>
      <c r="N93" s="7"/>
      <c r="O93" s="9"/>
      <c r="P93" s="6"/>
      <c r="Q93" s="10"/>
    </row>
    <row r="94" spans="1:17" ht="18">
      <c r="A94" s="6"/>
      <c r="B94" s="6"/>
      <c r="C94" s="6"/>
      <c r="D94" s="6"/>
      <c r="E94" s="6"/>
      <c r="F94" s="7"/>
      <c r="G94" s="6"/>
      <c r="H94" s="8"/>
      <c r="I94" s="6"/>
      <c r="J94" s="7"/>
      <c r="K94" s="7"/>
      <c r="L94" s="7"/>
      <c r="M94" s="7"/>
      <c r="N94" s="7"/>
      <c r="O94" s="9"/>
      <c r="P94" s="6"/>
      <c r="Q94" s="10"/>
    </row>
    <row r="95" spans="1:17" ht="18">
      <c r="A95" s="6"/>
      <c r="B95" s="6"/>
      <c r="C95" s="6"/>
      <c r="D95" s="6"/>
      <c r="E95" s="6"/>
      <c r="F95" s="7"/>
      <c r="G95" s="6"/>
      <c r="H95" s="8"/>
      <c r="I95" s="6"/>
      <c r="J95" s="7"/>
      <c r="K95" s="7"/>
      <c r="L95" s="7"/>
      <c r="M95" s="7"/>
      <c r="N95" s="7"/>
      <c r="O95" s="9"/>
      <c r="P95" s="6"/>
      <c r="Q95" s="10"/>
    </row>
    <row r="96" spans="1:17" ht="18">
      <c r="A96" s="6"/>
      <c r="B96" s="6"/>
      <c r="C96" s="6"/>
      <c r="D96" s="6"/>
      <c r="E96" s="6"/>
      <c r="F96" s="7"/>
      <c r="G96" s="6"/>
      <c r="H96" s="8"/>
      <c r="I96" s="6"/>
      <c r="J96" s="7"/>
      <c r="K96" s="7"/>
      <c r="L96" s="7"/>
      <c r="M96" s="7"/>
      <c r="N96" s="7"/>
      <c r="O96" s="9"/>
      <c r="P96" s="6"/>
      <c r="Q96" s="10"/>
    </row>
    <row r="97" spans="1:17" ht="18">
      <c r="A97" s="6"/>
      <c r="B97" s="6"/>
      <c r="C97" s="6"/>
      <c r="D97" s="6"/>
      <c r="E97" s="6"/>
      <c r="F97" s="7"/>
      <c r="G97" s="6"/>
      <c r="H97" s="8"/>
      <c r="I97" s="6"/>
      <c r="J97" s="7"/>
      <c r="K97" s="7"/>
      <c r="L97" s="7"/>
      <c r="M97" s="7"/>
      <c r="N97" s="7"/>
      <c r="O97" s="9"/>
      <c r="P97" s="6"/>
      <c r="Q97" s="10"/>
    </row>
    <row r="98" spans="1:17" ht="18">
      <c r="A98" s="6"/>
      <c r="B98" s="6"/>
      <c r="C98" s="6"/>
      <c r="D98" s="6"/>
      <c r="E98" s="6"/>
      <c r="F98" s="7"/>
      <c r="G98" s="6"/>
      <c r="H98" s="8"/>
      <c r="I98" s="6"/>
      <c r="J98" s="7"/>
      <c r="K98" s="7"/>
      <c r="L98" s="7"/>
      <c r="M98" s="7"/>
      <c r="N98" s="7"/>
      <c r="O98" s="9"/>
      <c r="P98" s="6"/>
      <c r="Q98" s="6"/>
    </row>
    <row r="99" spans="1:17" ht="18">
      <c r="A99" s="6"/>
      <c r="B99" s="6"/>
      <c r="C99" s="6"/>
      <c r="D99" s="6"/>
      <c r="E99" s="6"/>
      <c r="F99" s="7"/>
      <c r="G99" s="6"/>
      <c r="H99" s="8"/>
      <c r="I99" s="6"/>
      <c r="J99" s="7"/>
      <c r="K99" s="7"/>
      <c r="L99" s="7"/>
      <c r="M99" s="7"/>
      <c r="N99" s="7"/>
      <c r="O99" s="9"/>
      <c r="P99" s="6"/>
      <c r="Q99" s="10"/>
    </row>
    <row r="100" spans="1:17" ht="18">
      <c r="A100" s="6"/>
      <c r="B100" s="6"/>
      <c r="C100" s="6"/>
      <c r="D100" s="6"/>
      <c r="E100" s="6"/>
      <c r="F100" s="7"/>
      <c r="G100" s="6"/>
      <c r="H100" s="8"/>
      <c r="I100" s="6"/>
      <c r="J100" s="7"/>
      <c r="K100" s="7"/>
      <c r="L100" s="7"/>
      <c r="M100" s="7"/>
      <c r="N100" s="7"/>
      <c r="O100" s="9"/>
      <c r="P100" s="6"/>
      <c r="Q100" s="10"/>
    </row>
    <row r="101" spans="1:17" ht="18">
      <c r="A101" s="6"/>
      <c r="B101" s="6"/>
      <c r="C101" s="6"/>
      <c r="D101" s="6"/>
      <c r="E101" s="6"/>
      <c r="F101" s="7"/>
      <c r="G101" s="6"/>
      <c r="H101" s="8"/>
      <c r="I101" s="6"/>
      <c r="J101" s="7"/>
      <c r="K101" s="7"/>
      <c r="L101" s="7"/>
      <c r="M101" s="7"/>
      <c r="N101" s="7"/>
      <c r="O101" s="9"/>
      <c r="P101" s="6"/>
      <c r="Q101" s="10"/>
    </row>
    <row r="102" spans="1:17" ht="18">
      <c r="A102" s="6"/>
      <c r="B102" s="6"/>
      <c r="C102" s="6"/>
      <c r="D102" s="6"/>
      <c r="E102" s="6"/>
      <c r="F102" s="7"/>
      <c r="G102" s="8"/>
      <c r="H102" s="6"/>
      <c r="I102" s="6"/>
      <c r="J102" s="7"/>
      <c r="K102" s="7"/>
      <c r="L102" s="7"/>
      <c r="M102" s="7"/>
      <c r="N102" s="7"/>
      <c r="O102" s="9"/>
      <c r="P102" s="6"/>
      <c r="Q102" s="10"/>
    </row>
    <row r="103" spans="1:17" ht="18">
      <c r="A103" s="6"/>
      <c r="B103" s="6"/>
      <c r="C103" s="6"/>
      <c r="D103" s="6"/>
      <c r="E103" s="6"/>
      <c r="F103" s="7"/>
      <c r="G103" s="6"/>
      <c r="H103" s="8"/>
      <c r="I103" s="6"/>
      <c r="J103" s="7"/>
      <c r="K103" s="7"/>
      <c r="L103" s="7"/>
      <c r="M103" s="7"/>
      <c r="N103" s="7"/>
      <c r="O103" s="9"/>
      <c r="P103" s="6"/>
      <c r="Q103" s="10"/>
    </row>
    <row r="104" spans="1:17" ht="18">
      <c r="A104" s="6"/>
      <c r="B104" s="6"/>
      <c r="C104" s="6"/>
      <c r="D104" s="6"/>
      <c r="E104" s="6"/>
      <c r="F104" s="7"/>
      <c r="G104" s="6"/>
      <c r="H104" s="8"/>
      <c r="I104" s="6"/>
      <c r="J104" s="7"/>
      <c r="K104" s="7"/>
      <c r="L104" s="7"/>
      <c r="M104" s="7"/>
      <c r="N104" s="7"/>
      <c r="O104" s="9"/>
      <c r="P104" s="6"/>
      <c r="Q104" s="6"/>
    </row>
    <row r="105" spans="1:17" ht="18">
      <c r="A105" s="6"/>
      <c r="B105" s="6"/>
      <c r="C105" s="6"/>
      <c r="D105" s="6"/>
      <c r="E105" s="6"/>
      <c r="F105" s="7"/>
      <c r="G105" s="6"/>
      <c r="H105" s="8"/>
      <c r="I105" s="6"/>
      <c r="J105" s="7"/>
      <c r="K105" s="7"/>
      <c r="L105" s="7"/>
      <c r="M105" s="7"/>
      <c r="N105" s="7"/>
      <c r="O105" s="9"/>
      <c r="P105" s="6"/>
      <c r="Q105" s="10"/>
    </row>
    <row r="106" spans="1:17" ht="18">
      <c r="A106" s="6"/>
      <c r="B106" s="6"/>
      <c r="C106" s="6"/>
      <c r="D106" s="6"/>
      <c r="E106" s="6"/>
      <c r="F106" s="7"/>
      <c r="G106" s="6"/>
      <c r="H106" s="8"/>
      <c r="I106" s="6"/>
      <c r="J106" s="7"/>
      <c r="K106" s="7"/>
      <c r="L106" s="7"/>
      <c r="M106" s="7"/>
      <c r="N106" s="7"/>
      <c r="O106" s="9"/>
      <c r="P106" s="6"/>
      <c r="Q106" s="10"/>
    </row>
    <row r="107" spans="1:17" ht="18">
      <c r="A107" s="6"/>
      <c r="B107" s="6"/>
      <c r="C107" s="6"/>
      <c r="D107" s="6"/>
      <c r="E107" s="6"/>
      <c r="F107" s="7"/>
      <c r="G107" s="6"/>
      <c r="H107" s="8"/>
      <c r="I107" s="6"/>
      <c r="J107" s="7"/>
      <c r="K107" s="7"/>
      <c r="L107" s="7"/>
      <c r="M107" s="7"/>
      <c r="N107" s="7"/>
      <c r="O107" s="9"/>
      <c r="P107" s="6"/>
      <c r="Q107" s="10"/>
    </row>
    <row r="108" spans="1:17" ht="18">
      <c r="A108" s="6"/>
      <c r="B108" s="6"/>
      <c r="C108" s="6"/>
      <c r="D108" s="6"/>
      <c r="E108" s="6"/>
      <c r="F108" s="7"/>
      <c r="G108" s="6"/>
      <c r="H108" s="8"/>
      <c r="I108" s="6"/>
      <c r="J108" s="7"/>
      <c r="K108" s="7"/>
      <c r="L108" s="7"/>
      <c r="M108" s="7"/>
      <c r="N108" s="7"/>
      <c r="O108" s="9"/>
      <c r="P108" s="6"/>
      <c r="Q108" s="10"/>
    </row>
    <row r="109" spans="1:17" ht="18">
      <c r="A109" s="6"/>
      <c r="B109" s="6"/>
      <c r="C109" s="6"/>
      <c r="D109" s="6"/>
      <c r="E109" s="6"/>
      <c r="F109" s="7"/>
      <c r="G109" s="6"/>
      <c r="H109" s="8"/>
      <c r="I109" s="6"/>
      <c r="J109" s="7"/>
      <c r="K109" s="7"/>
      <c r="L109" s="7"/>
      <c r="M109" s="7"/>
      <c r="N109" s="7"/>
      <c r="O109" s="9"/>
      <c r="P109" s="6"/>
      <c r="Q109" s="6"/>
    </row>
    <row r="110" spans="1:17" ht="18">
      <c r="A110" s="6"/>
      <c r="B110" s="6"/>
      <c r="C110" s="6"/>
      <c r="D110" s="6"/>
      <c r="E110" s="6"/>
      <c r="F110" s="7"/>
      <c r="G110" s="6"/>
      <c r="H110" s="8"/>
      <c r="I110" s="6"/>
      <c r="J110" s="7"/>
      <c r="K110" s="7"/>
      <c r="L110" s="7"/>
      <c r="M110" s="7"/>
      <c r="N110" s="7"/>
      <c r="O110" s="9"/>
      <c r="P110" s="6"/>
      <c r="Q110" s="6"/>
    </row>
    <row r="111" spans="1:17" ht="18">
      <c r="A111" s="6"/>
      <c r="B111" s="6"/>
      <c r="C111" s="6"/>
      <c r="D111" s="6"/>
      <c r="E111" s="6"/>
      <c r="F111" s="7"/>
      <c r="G111" s="6"/>
      <c r="H111" s="8"/>
      <c r="I111" s="6"/>
      <c r="J111" s="7"/>
      <c r="K111" s="7"/>
      <c r="L111" s="7"/>
      <c r="M111" s="7"/>
      <c r="N111" s="7"/>
      <c r="O111" s="9"/>
      <c r="P111" s="6"/>
      <c r="Q111" s="6"/>
    </row>
    <row r="112" spans="1:17" ht="18">
      <c r="A112" s="6"/>
      <c r="B112" s="6"/>
      <c r="C112" s="6"/>
      <c r="D112" s="6"/>
      <c r="E112" s="6"/>
      <c r="F112" s="7"/>
      <c r="G112" s="6"/>
      <c r="H112" s="8"/>
      <c r="I112" s="6"/>
      <c r="J112" s="7"/>
      <c r="K112" s="7"/>
      <c r="L112" s="7"/>
      <c r="M112" s="7"/>
      <c r="N112" s="7"/>
      <c r="O112" s="9"/>
      <c r="P112" s="6"/>
      <c r="Q112" s="10"/>
    </row>
    <row r="113" spans="1:17" ht="18">
      <c r="A113" s="6"/>
      <c r="B113" s="6"/>
      <c r="C113" s="6"/>
      <c r="D113" s="6"/>
      <c r="E113" s="6"/>
      <c r="F113" s="7"/>
      <c r="G113" s="6"/>
      <c r="H113" s="8"/>
      <c r="I113" s="6"/>
      <c r="J113" s="7"/>
      <c r="K113" s="7"/>
      <c r="L113" s="7"/>
      <c r="M113" s="7"/>
      <c r="N113" s="7"/>
      <c r="O113" s="9"/>
      <c r="P113" s="6"/>
      <c r="Q113" s="10"/>
    </row>
    <row r="114" spans="1:17" ht="18">
      <c r="A114" s="6"/>
      <c r="B114" s="6"/>
      <c r="C114" s="6"/>
      <c r="D114" s="6"/>
      <c r="E114" s="6"/>
      <c r="F114" s="7"/>
      <c r="G114" s="6"/>
      <c r="H114" s="8"/>
      <c r="I114" s="8"/>
      <c r="J114" s="7"/>
      <c r="K114" s="7"/>
      <c r="L114" s="7"/>
      <c r="M114" s="7"/>
      <c r="N114" s="7"/>
      <c r="O114" s="9"/>
      <c r="P114" s="6"/>
      <c r="Q114" s="10"/>
    </row>
    <row r="115" spans="1:17" ht="18">
      <c r="A115" s="6"/>
      <c r="B115" s="6"/>
      <c r="C115" s="6"/>
      <c r="D115" s="6"/>
      <c r="E115" s="6"/>
      <c r="F115" s="7"/>
      <c r="G115" s="6"/>
      <c r="H115" s="8"/>
      <c r="I115" s="6"/>
      <c r="J115" s="7"/>
      <c r="K115" s="7"/>
      <c r="L115" s="7"/>
      <c r="M115" s="7"/>
      <c r="N115" s="7"/>
      <c r="O115" s="9"/>
      <c r="P115" s="6"/>
      <c r="Q115" s="10"/>
    </row>
    <row r="116" spans="1:17" ht="18">
      <c r="A116" s="6"/>
      <c r="B116" s="6"/>
      <c r="C116" s="6"/>
      <c r="D116" s="6"/>
      <c r="E116" s="6"/>
      <c r="F116" s="7"/>
      <c r="G116" s="6"/>
      <c r="H116" s="8"/>
      <c r="I116" s="6"/>
      <c r="J116" s="7"/>
      <c r="K116" s="7"/>
      <c r="L116" s="7"/>
      <c r="M116" s="7"/>
      <c r="N116" s="7"/>
      <c r="O116" s="9"/>
      <c r="P116" s="6"/>
      <c r="Q116" s="10"/>
    </row>
    <row r="117" spans="1:17" ht="18">
      <c r="A117" s="6"/>
      <c r="B117" s="6"/>
      <c r="C117" s="6"/>
      <c r="D117" s="6"/>
      <c r="E117" s="6"/>
      <c r="F117" s="7"/>
      <c r="G117" s="6"/>
      <c r="H117" s="8"/>
      <c r="I117" s="6"/>
      <c r="J117" s="7"/>
      <c r="K117" s="7"/>
      <c r="L117" s="7"/>
      <c r="M117" s="7"/>
      <c r="N117" s="7"/>
      <c r="O117" s="9"/>
      <c r="P117" s="6"/>
      <c r="Q117" s="10"/>
    </row>
    <row r="118" spans="1:17" ht="18">
      <c r="A118" s="6"/>
      <c r="B118" s="6"/>
      <c r="C118" s="6"/>
      <c r="D118" s="6"/>
      <c r="E118" s="6"/>
      <c r="F118" s="7"/>
      <c r="G118" s="6"/>
      <c r="H118" s="8"/>
      <c r="I118" s="6"/>
      <c r="J118" s="7"/>
      <c r="K118" s="7"/>
      <c r="L118" s="7"/>
      <c r="M118" s="7"/>
      <c r="N118" s="7"/>
      <c r="O118" s="9"/>
      <c r="P118" s="6"/>
      <c r="Q118" s="10"/>
    </row>
    <row r="119" spans="1:17" ht="18">
      <c r="A119" s="6"/>
      <c r="B119" s="6"/>
      <c r="C119" s="6"/>
      <c r="D119" s="6"/>
      <c r="E119" s="6"/>
      <c r="F119" s="7"/>
      <c r="G119" s="8"/>
      <c r="H119" s="6"/>
      <c r="I119" s="6"/>
      <c r="J119" s="7"/>
      <c r="K119" s="7"/>
      <c r="L119" s="7"/>
      <c r="M119" s="7"/>
      <c r="N119" s="7"/>
      <c r="O119" s="9"/>
      <c r="P119" s="6"/>
      <c r="Q119" s="10"/>
    </row>
    <row r="120" spans="1:17" ht="18">
      <c r="A120" s="6"/>
      <c r="B120" s="6"/>
      <c r="C120" s="6"/>
      <c r="D120" s="6"/>
      <c r="E120" s="6"/>
      <c r="F120" s="7"/>
      <c r="G120" s="8"/>
      <c r="H120" s="6"/>
      <c r="I120" s="6"/>
      <c r="J120" s="7"/>
      <c r="K120" s="7"/>
      <c r="L120" s="7"/>
      <c r="M120" s="7"/>
      <c r="N120" s="7"/>
      <c r="O120" s="9"/>
      <c r="P120" s="6"/>
      <c r="Q120" s="10"/>
    </row>
    <row r="121" spans="1:17" ht="18">
      <c r="A121" s="6"/>
      <c r="B121" s="6"/>
      <c r="C121" s="6"/>
      <c r="D121" s="6"/>
      <c r="E121" s="6"/>
      <c r="F121" s="7"/>
      <c r="G121" s="8"/>
      <c r="H121" s="6"/>
      <c r="I121" s="6"/>
      <c r="J121" s="7"/>
      <c r="K121" s="7"/>
      <c r="L121" s="7"/>
      <c r="M121" s="7"/>
      <c r="N121" s="7"/>
      <c r="O121" s="9"/>
      <c r="P121" s="6"/>
      <c r="Q121" s="6"/>
    </row>
    <row r="122" spans="1:17" ht="18">
      <c r="A122" s="6"/>
      <c r="B122" s="6"/>
      <c r="C122" s="6"/>
      <c r="D122" s="6"/>
      <c r="E122" s="6"/>
      <c r="F122" s="7"/>
      <c r="G122" s="8"/>
      <c r="H122" s="6"/>
      <c r="I122" s="6"/>
      <c r="J122" s="7"/>
      <c r="K122" s="7"/>
      <c r="L122" s="7"/>
      <c r="M122" s="7"/>
      <c r="N122" s="7"/>
      <c r="O122" s="9"/>
      <c r="P122" s="6"/>
      <c r="Q122" s="6"/>
    </row>
    <row r="123" spans="1:17" ht="18">
      <c r="A123" s="6"/>
      <c r="B123" s="6"/>
      <c r="C123" s="6"/>
      <c r="D123" s="6"/>
      <c r="E123" s="6"/>
      <c r="F123" s="7"/>
      <c r="G123" s="6"/>
      <c r="H123" s="8"/>
      <c r="I123" s="6"/>
      <c r="J123" s="7"/>
      <c r="K123" s="7"/>
      <c r="L123" s="7"/>
      <c r="M123" s="7"/>
      <c r="N123" s="7"/>
      <c r="O123" s="9"/>
      <c r="P123" s="6"/>
      <c r="Q123" s="6"/>
    </row>
    <row r="124" spans="1:17" ht="18">
      <c r="A124" s="6"/>
      <c r="B124" s="6"/>
      <c r="C124" s="6"/>
      <c r="D124" s="6"/>
      <c r="E124" s="6"/>
      <c r="F124" s="7"/>
      <c r="G124" s="6"/>
      <c r="H124" s="8"/>
      <c r="I124" s="6"/>
      <c r="J124" s="7"/>
      <c r="K124" s="7"/>
      <c r="L124" s="7"/>
      <c r="M124" s="7"/>
      <c r="N124" s="7"/>
      <c r="O124" s="9"/>
      <c r="P124" s="6"/>
      <c r="Q124" s="10"/>
    </row>
    <row r="125" spans="1:17" ht="18">
      <c r="A125" s="6"/>
      <c r="B125" s="6"/>
      <c r="C125" s="6"/>
      <c r="D125" s="6"/>
      <c r="E125" s="6"/>
      <c r="F125" s="7"/>
      <c r="G125" s="6"/>
      <c r="H125" s="8"/>
      <c r="I125" s="6"/>
      <c r="J125" s="7"/>
      <c r="K125" s="7"/>
      <c r="L125" s="7"/>
      <c r="M125" s="7"/>
      <c r="N125" s="7"/>
      <c r="O125" s="9"/>
      <c r="P125" s="6"/>
      <c r="Q125" s="10"/>
    </row>
    <row r="126" spans="1:17" ht="18">
      <c r="A126" s="6"/>
      <c r="B126" s="6"/>
      <c r="C126" s="6"/>
      <c r="D126" s="6"/>
      <c r="E126" s="6"/>
      <c r="F126" s="7"/>
      <c r="G126" s="6"/>
      <c r="H126" s="8"/>
      <c r="I126" s="6"/>
      <c r="J126" s="7"/>
      <c r="K126" s="7"/>
      <c r="L126" s="7"/>
      <c r="M126" s="7"/>
      <c r="N126" s="7"/>
      <c r="O126" s="9"/>
      <c r="P126" s="6"/>
      <c r="Q126" s="10"/>
    </row>
    <row r="127" spans="1:17" ht="18">
      <c r="A127" s="6"/>
      <c r="B127" s="6"/>
      <c r="C127" s="6"/>
      <c r="D127" s="6"/>
      <c r="E127" s="6"/>
      <c r="F127" s="7"/>
      <c r="G127" s="6"/>
      <c r="H127" s="8"/>
      <c r="I127" s="6"/>
      <c r="J127" s="7"/>
      <c r="K127" s="7"/>
      <c r="L127" s="7"/>
      <c r="M127" s="7"/>
      <c r="N127" s="7"/>
      <c r="O127" s="9"/>
      <c r="P127" s="6"/>
      <c r="Q127" s="10"/>
    </row>
    <row r="128" spans="1:17" ht="18">
      <c r="A128" s="6"/>
      <c r="B128" s="6"/>
      <c r="C128" s="6"/>
      <c r="D128" s="6"/>
      <c r="E128" s="6"/>
      <c r="F128" s="7"/>
      <c r="G128" s="6"/>
      <c r="H128" s="8"/>
      <c r="I128" s="6"/>
      <c r="J128" s="7"/>
      <c r="K128" s="7"/>
      <c r="L128" s="7"/>
      <c r="M128" s="7"/>
      <c r="N128" s="7"/>
      <c r="O128" s="9"/>
      <c r="P128" s="6"/>
      <c r="Q128" s="10"/>
    </row>
    <row r="129" spans="1:17" ht="18">
      <c r="A129" s="6"/>
      <c r="B129" s="6"/>
      <c r="C129" s="6"/>
      <c r="D129" s="6"/>
      <c r="E129" s="6"/>
      <c r="F129" s="7"/>
      <c r="G129" s="8"/>
      <c r="H129" s="6"/>
      <c r="I129" s="6"/>
      <c r="J129" s="7"/>
      <c r="K129" s="7"/>
      <c r="L129" s="7"/>
      <c r="M129" s="7"/>
      <c r="N129" s="7"/>
      <c r="O129" s="9"/>
      <c r="P129" s="6"/>
      <c r="Q129" s="6"/>
    </row>
    <row r="130" spans="1:17" ht="18">
      <c r="A130" s="6"/>
      <c r="B130" s="6"/>
      <c r="C130" s="6"/>
      <c r="D130" s="6"/>
      <c r="E130" s="6"/>
      <c r="F130" s="7"/>
      <c r="G130" s="6"/>
      <c r="H130" s="8"/>
      <c r="I130" s="6"/>
      <c r="J130" s="7"/>
      <c r="K130" s="7"/>
      <c r="L130" s="7"/>
      <c r="M130" s="7"/>
      <c r="N130" s="7"/>
      <c r="O130" s="9"/>
      <c r="P130" s="6"/>
      <c r="Q130" s="10"/>
    </row>
    <row r="131" spans="1:17" ht="18">
      <c r="A131" s="6"/>
      <c r="B131" s="6"/>
      <c r="C131" s="6"/>
      <c r="D131" s="6"/>
      <c r="E131" s="6"/>
      <c r="F131" s="7"/>
      <c r="G131" s="6"/>
      <c r="H131" s="8"/>
      <c r="I131" s="6"/>
      <c r="J131" s="7"/>
      <c r="K131" s="7"/>
      <c r="L131" s="7"/>
      <c r="M131" s="7"/>
      <c r="N131" s="7"/>
      <c r="O131" s="9"/>
      <c r="P131" s="6"/>
      <c r="Q131" s="10"/>
    </row>
    <row r="132" spans="1:17" ht="18">
      <c r="A132" s="6"/>
      <c r="B132" s="6"/>
      <c r="C132" s="6"/>
      <c r="D132" s="6"/>
      <c r="E132" s="6"/>
      <c r="F132" s="7"/>
      <c r="G132" s="8"/>
      <c r="H132" s="6"/>
      <c r="I132" s="6"/>
      <c r="J132" s="7"/>
      <c r="K132" s="7"/>
      <c r="L132" s="7"/>
      <c r="M132" s="7"/>
      <c r="N132" s="7"/>
      <c r="O132" s="9"/>
      <c r="P132" s="6"/>
      <c r="Q132" s="10"/>
    </row>
    <row r="133" spans="1:17" ht="18">
      <c r="A133" s="6"/>
      <c r="B133" s="6"/>
      <c r="C133" s="6"/>
      <c r="D133" s="6"/>
      <c r="E133" s="6"/>
      <c r="F133" s="7"/>
      <c r="G133" s="8"/>
      <c r="H133" s="6"/>
      <c r="I133" s="6"/>
      <c r="J133" s="7"/>
      <c r="K133" s="7"/>
      <c r="L133" s="7"/>
      <c r="M133" s="7"/>
      <c r="N133" s="7"/>
      <c r="O133" s="9"/>
      <c r="P133" s="6"/>
      <c r="Q133" s="6"/>
    </row>
    <row r="134" spans="1:17" ht="18">
      <c r="A134" s="6"/>
      <c r="B134" s="6"/>
      <c r="C134" s="6"/>
      <c r="D134" s="6"/>
      <c r="E134" s="6"/>
      <c r="F134" s="7"/>
      <c r="G134" s="6"/>
      <c r="H134" s="8"/>
      <c r="I134" s="6"/>
      <c r="J134" s="7"/>
      <c r="K134" s="7"/>
      <c r="L134" s="7"/>
      <c r="M134" s="7"/>
      <c r="N134" s="7"/>
      <c r="O134" s="9"/>
      <c r="P134" s="6"/>
      <c r="Q134" s="6"/>
    </row>
    <row r="135" spans="1:17" ht="18">
      <c r="A135" s="6"/>
      <c r="B135" s="6"/>
      <c r="C135" s="6"/>
      <c r="D135" s="6"/>
      <c r="E135" s="6"/>
      <c r="F135" s="7"/>
      <c r="G135" s="8"/>
      <c r="H135" s="6"/>
      <c r="I135" s="6"/>
      <c r="J135" s="7"/>
      <c r="K135" s="7"/>
      <c r="L135" s="7"/>
      <c r="M135" s="7"/>
      <c r="N135" s="7"/>
      <c r="O135" s="9"/>
      <c r="P135" s="6"/>
      <c r="Q135" s="10"/>
    </row>
    <row r="136" spans="1:17" ht="18">
      <c r="A136" s="6"/>
      <c r="B136" s="6"/>
      <c r="C136" s="6"/>
      <c r="D136" s="6"/>
      <c r="E136" s="6"/>
      <c r="F136" s="7"/>
      <c r="G136" s="6"/>
      <c r="H136" s="8"/>
      <c r="I136" s="8"/>
      <c r="J136" s="7"/>
      <c r="K136" s="7"/>
      <c r="L136" s="7"/>
      <c r="M136" s="7"/>
      <c r="N136" s="7"/>
      <c r="O136" s="9"/>
      <c r="P136" s="6"/>
      <c r="Q136" s="10"/>
    </row>
    <row r="137" spans="1:17" ht="18">
      <c r="A137" s="6"/>
      <c r="B137" s="6"/>
      <c r="C137" s="6"/>
      <c r="D137" s="6"/>
      <c r="E137" s="6"/>
      <c r="F137" s="7"/>
      <c r="G137" s="6"/>
      <c r="H137" s="8"/>
      <c r="I137" s="8"/>
      <c r="J137" s="7"/>
      <c r="K137" s="7"/>
      <c r="L137" s="7"/>
      <c r="M137" s="7"/>
      <c r="N137" s="7"/>
      <c r="O137" s="9"/>
      <c r="P137" s="6"/>
      <c r="Q137" s="10"/>
    </row>
    <row r="138" spans="1:17" ht="18">
      <c r="A138" s="6"/>
      <c r="B138" s="6"/>
      <c r="C138" s="6"/>
      <c r="D138" s="6"/>
      <c r="E138" s="6"/>
      <c r="F138" s="7"/>
      <c r="G138" s="6"/>
      <c r="H138" s="8"/>
      <c r="I138" s="8"/>
      <c r="J138" s="7"/>
      <c r="K138" s="7"/>
      <c r="L138" s="7"/>
      <c r="M138" s="7"/>
      <c r="N138" s="7"/>
      <c r="O138" s="9"/>
      <c r="P138" s="6"/>
      <c r="Q138" s="10"/>
    </row>
    <row r="139" spans="1:17" ht="18">
      <c r="A139" s="6"/>
      <c r="B139" s="6"/>
      <c r="C139" s="6"/>
      <c r="D139" s="6"/>
      <c r="E139" s="6"/>
      <c r="F139" s="7"/>
      <c r="G139" s="6"/>
      <c r="H139" s="8"/>
      <c r="I139" s="6"/>
      <c r="J139" s="7"/>
      <c r="K139" s="7"/>
      <c r="L139" s="7"/>
      <c r="M139" s="7"/>
      <c r="N139" s="7"/>
      <c r="O139" s="9"/>
      <c r="P139" s="6"/>
      <c r="Q139" s="6"/>
    </row>
    <row r="140" spans="1:17" ht="18">
      <c r="A140" s="6"/>
      <c r="B140" s="6"/>
      <c r="C140" s="6"/>
      <c r="D140" s="6"/>
      <c r="E140" s="6"/>
      <c r="F140" s="7"/>
      <c r="G140" s="6"/>
      <c r="H140" s="8"/>
      <c r="I140" s="6"/>
      <c r="J140" s="7"/>
      <c r="K140" s="7"/>
      <c r="L140" s="7"/>
      <c r="M140" s="7"/>
      <c r="N140" s="7"/>
      <c r="O140" s="9"/>
      <c r="P140" s="6"/>
      <c r="Q140" s="10"/>
    </row>
    <row r="141" spans="1:17" ht="18">
      <c r="A141" s="6"/>
      <c r="B141" s="6"/>
      <c r="C141" s="6"/>
      <c r="D141" s="6"/>
      <c r="E141" s="6"/>
      <c r="F141" s="7"/>
      <c r="G141" s="6"/>
      <c r="H141" s="8"/>
      <c r="I141" s="6"/>
      <c r="J141" s="7"/>
      <c r="K141" s="7"/>
      <c r="L141" s="7"/>
      <c r="M141" s="7"/>
      <c r="N141" s="7"/>
      <c r="O141" s="9"/>
      <c r="P141" s="6"/>
      <c r="Q141" s="10"/>
    </row>
    <row r="142" spans="1:17" ht="18">
      <c r="A142" s="6"/>
      <c r="B142" s="6"/>
      <c r="C142" s="6"/>
      <c r="D142" s="6"/>
      <c r="E142" s="6"/>
      <c r="F142" s="7"/>
      <c r="G142" s="6"/>
      <c r="H142" s="8"/>
      <c r="I142" s="6"/>
      <c r="J142" s="7"/>
      <c r="K142" s="7"/>
      <c r="L142" s="7"/>
      <c r="M142" s="7"/>
      <c r="N142" s="7"/>
      <c r="O142" s="9"/>
      <c r="P142" s="6"/>
      <c r="Q142" s="6"/>
    </row>
    <row r="143" spans="1:17" ht="18">
      <c r="A143" s="6"/>
      <c r="B143" s="6"/>
      <c r="C143" s="6"/>
      <c r="D143" s="6"/>
      <c r="E143" s="6"/>
      <c r="F143" s="7"/>
      <c r="G143" s="8"/>
      <c r="H143" s="6"/>
      <c r="I143" s="6"/>
      <c r="J143" s="7"/>
      <c r="K143" s="7"/>
      <c r="L143" s="7"/>
      <c r="M143" s="7"/>
      <c r="N143" s="7"/>
      <c r="O143" s="9"/>
      <c r="P143" s="6"/>
      <c r="Q143" s="6"/>
    </row>
    <row r="144" spans="1:17" ht="18">
      <c r="A144" s="6"/>
      <c r="B144" s="6"/>
      <c r="C144" s="6"/>
      <c r="D144" s="6"/>
      <c r="E144" s="6"/>
      <c r="F144" s="7"/>
      <c r="G144" s="8"/>
      <c r="H144" s="6"/>
      <c r="I144" s="6"/>
      <c r="J144" s="7"/>
      <c r="K144" s="7"/>
      <c r="L144" s="7"/>
      <c r="M144" s="7"/>
      <c r="N144" s="7"/>
      <c r="O144" s="9"/>
      <c r="P144" s="6"/>
      <c r="Q144" s="6"/>
    </row>
    <row r="145" spans="1:17" ht="18">
      <c r="A145" s="6"/>
      <c r="B145" s="6"/>
      <c r="C145" s="6"/>
      <c r="D145" s="6"/>
      <c r="E145" s="6"/>
      <c r="F145" s="7"/>
      <c r="G145" s="8"/>
      <c r="H145" s="6"/>
      <c r="I145" s="6"/>
      <c r="J145" s="7"/>
      <c r="K145" s="7"/>
      <c r="L145" s="7"/>
      <c r="M145" s="7"/>
      <c r="N145" s="7"/>
      <c r="O145" s="9"/>
      <c r="P145" s="6"/>
      <c r="Q145" s="10"/>
    </row>
    <row r="146" spans="1:17" ht="18">
      <c r="A146" s="6"/>
      <c r="B146" s="6"/>
      <c r="C146" s="6"/>
      <c r="D146" s="6"/>
      <c r="E146" s="6"/>
      <c r="F146" s="7"/>
      <c r="G146" s="8"/>
      <c r="H146" s="6"/>
      <c r="I146" s="6"/>
      <c r="J146" s="7"/>
      <c r="K146" s="7"/>
      <c r="L146" s="7"/>
      <c r="M146" s="7"/>
      <c r="N146" s="7"/>
      <c r="O146" s="9"/>
      <c r="P146" s="6"/>
      <c r="Q146" s="10"/>
    </row>
    <row r="147" spans="1:17" ht="18">
      <c r="A147" s="6"/>
      <c r="B147" s="6"/>
      <c r="C147" s="6"/>
      <c r="D147" s="6"/>
      <c r="E147" s="6"/>
      <c r="F147" s="7"/>
      <c r="G147" s="8"/>
      <c r="H147" s="6"/>
      <c r="I147" s="6"/>
      <c r="J147" s="7"/>
      <c r="K147" s="7"/>
      <c r="L147" s="7"/>
      <c r="M147" s="7"/>
      <c r="N147" s="7"/>
      <c r="O147" s="9"/>
      <c r="P147" s="6"/>
      <c r="Q147" s="6"/>
    </row>
    <row r="148" spans="1:17" ht="18">
      <c r="A148" s="6"/>
      <c r="B148" s="6"/>
      <c r="C148" s="6"/>
      <c r="D148" s="6"/>
      <c r="E148" s="6"/>
      <c r="F148" s="7"/>
      <c r="G148" s="6"/>
      <c r="H148" s="8"/>
      <c r="I148" s="6"/>
      <c r="J148" s="7"/>
      <c r="K148" s="7"/>
      <c r="L148" s="7"/>
      <c r="M148" s="7"/>
      <c r="N148" s="7"/>
      <c r="O148" s="9"/>
      <c r="P148" s="6"/>
      <c r="Q148" s="6"/>
    </row>
    <row r="149" spans="1:17" ht="18">
      <c r="A149" s="6"/>
      <c r="B149" s="6"/>
      <c r="C149" s="6"/>
      <c r="D149" s="6"/>
      <c r="E149" s="6"/>
      <c r="F149" s="7"/>
      <c r="G149" s="6"/>
      <c r="H149" s="8"/>
      <c r="I149" s="6"/>
      <c r="J149" s="7"/>
      <c r="K149" s="7"/>
      <c r="L149" s="7"/>
      <c r="M149" s="7"/>
      <c r="N149" s="7"/>
      <c r="O149" s="9"/>
      <c r="P149" s="6"/>
      <c r="Q149" s="10"/>
    </row>
    <row r="150" spans="1:17" ht="18">
      <c r="A150" s="6"/>
      <c r="B150" s="6"/>
      <c r="C150" s="6"/>
      <c r="D150" s="6"/>
      <c r="E150" s="6"/>
      <c r="F150" s="7"/>
      <c r="G150" s="6"/>
      <c r="H150" s="8"/>
      <c r="I150" s="6"/>
      <c r="J150" s="7"/>
      <c r="K150" s="7"/>
      <c r="L150" s="7"/>
      <c r="M150" s="7"/>
      <c r="N150" s="7"/>
      <c r="O150" s="9"/>
      <c r="P150" s="6"/>
      <c r="Q150" s="10"/>
    </row>
    <row r="151" spans="1:17" ht="18">
      <c r="A151" s="6"/>
      <c r="B151" s="6"/>
      <c r="C151" s="6"/>
      <c r="D151" s="6"/>
      <c r="E151" s="6"/>
      <c r="F151" s="7"/>
      <c r="G151" s="6"/>
      <c r="H151" s="8"/>
      <c r="I151" s="6"/>
      <c r="J151" s="7"/>
      <c r="K151" s="7"/>
      <c r="L151" s="7"/>
      <c r="M151" s="7"/>
      <c r="N151" s="7"/>
      <c r="O151" s="9"/>
      <c r="P151" s="6"/>
      <c r="Q151" s="6"/>
    </row>
    <row r="152" spans="1:17" ht="18">
      <c r="A152" s="6"/>
      <c r="B152" s="6"/>
      <c r="C152" s="6"/>
      <c r="D152" s="6"/>
      <c r="E152" s="6"/>
      <c r="F152" s="7"/>
      <c r="G152" s="6"/>
      <c r="H152" s="8"/>
      <c r="I152" s="6"/>
      <c r="J152" s="7"/>
      <c r="K152" s="7"/>
      <c r="L152" s="7"/>
      <c r="M152" s="7"/>
      <c r="N152" s="7"/>
      <c r="O152" s="9"/>
      <c r="P152" s="6"/>
      <c r="Q152" s="10"/>
    </row>
    <row r="153" spans="1:17" ht="18">
      <c r="A153" s="6"/>
      <c r="B153" s="6"/>
      <c r="C153" s="6"/>
      <c r="D153" s="6"/>
      <c r="E153" s="6"/>
      <c r="F153" s="7"/>
      <c r="G153" s="6"/>
      <c r="H153" s="8"/>
      <c r="I153" s="6"/>
      <c r="J153" s="7"/>
      <c r="K153" s="7"/>
      <c r="L153" s="7"/>
      <c r="M153" s="7"/>
      <c r="N153" s="7"/>
      <c r="O153" s="9"/>
      <c r="P153" s="6"/>
      <c r="Q153" s="6"/>
    </row>
    <row r="154" spans="1:17" ht="18">
      <c r="A154" s="6"/>
      <c r="B154" s="6"/>
      <c r="C154" s="6"/>
      <c r="D154" s="6"/>
      <c r="E154" s="6"/>
      <c r="F154" s="7"/>
      <c r="G154" s="6"/>
      <c r="H154" s="8"/>
      <c r="I154" s="6"/>
      <c r="J154" s="7"/>
      <c r="K154" s="7"/>
      <c r="L154" s="7"/>
      <c r="M154" s="7"/>
      <c r="N154" s="7"/>
      <c r="O154" s="9"/>
      <c r="P154" s="6"/>
      <c r="Q154" s="6"/>
    </row>
    <row r="155" spans="1:17" ht="18">
      <c r="A155" s="6"/>
      <c r="B155" s="6"/>
      <c r="C155" s="6"/>
      <c r="D155" s="6"/>
      <c r="E155" s="6"/>
      <c r="F155" s="7"/>
      <c r="G155" s="6"/>
      <c r="H155" s="8"/>
      <c r="I155" s="6"/>
      <c r="J155" s="7"/>
      <c r="K155" s="7"/>
      <c r="L155" s="7"/>
      <c r="M155" s="7"/>
      <c r="N155" s="7"/>
      <c r="O155" s="9"/>
      <c r="P155" s="6"/>
      <c r="Q155" s="10"/>
    </row>
    <row r="156" spans="1:17" ht="18">
      <c r="A156" s="6"/>
      <c r="B156" s="6"/>
      <c r="C156" s="6"/>
      <c r="D156" s="6"/>
      <c r="E156" s="6"/>
      <c r="F156" s="7"/>
      <c r="G156" s="8"/>
      <c r="H156" s="6"/>
      <c r="I156" s="6"/>
      <c r="J156" s="7"/>
      <c r="K156" s="7"/>
      <c r="L156" s="7"/>
      <c r="M156" s="7"/>
      <c r="N156" s="7"/>
      <c r="O156" s="9"/>
      <c r="P156" s="6"/>
      <c r="Q156" s="6"/>
    </row>
    <row r="157" spans="1:17" ht="18">
      <c r="A157" s="6"/>
      <c r="B157" s="6"/>
      <c r="C157" s="6"/>
      <c r="D157" s="6"/>
      <c r="E157" s="6"/>
      <c r="F157" s="7"/>
      <c r="G157" s="6"/>
      <c r="H157" s="8"/>
      <c r="I157" s="6"/>
      <c r="J157" s="7"/>
      <c r="K157" s="7"/>
      <c r="L157" s="7"/>
      <c r="M157" s="7"/>
      <c r="N157" s="7"/>
      <c r="O157" s="9"/>
      <c r="P157" s="6"/>
      <c r="Q157" s="6"/>
    </row>
    <row r="158" spans="1:17" ht="18">
      <c r="A158" s="6"/>
      <c r="B158" s="6"/>
      <c r="C158" s="6"/>
      <c r="D158" s="6"/>
      <c r="E158" s="6"/>
      <c r="F158" s="7"/>
      <c r="G158" s="6"/>
      <c r="H158" s="8"/>
      <c r="I158" s="6"/>
      <c r="J158" s="7"/>
      <c r="K158" s="7"/>
      <c r="L158" s="7"/>
      <c r="M158" s="7"/>
      <c r="N158" s="7"/>
      <c r="O158" s="9"/>
      <c r="P158" s="6"/>
      <c r="Q158" s="10"/>
    </row>
    <row r="159" spans="1:17" ht="18">
      <c r="A159" s="6"/>
      <c r="B159" s="6"/>
      <c r="C159" s="6"/>
      <c r="D159" s="6"/>
      <c r="E159" s="6"/>
      <c r="F159" s="7"/>
      <c r="G159" s="6"/>
      <c r="H159" s="8"/>
      <c r="I159" s="6"/>
      <c r="J159" s="7"/>
      <c r="K159" s="7"/>
      <c r="L159" s="7"/>
      <c r="M159" s="7"/>
      <c r="N159" s="7"/>
      <c r="O159" s="9"/>
      <c r="P159" s="6"/>
      <c r="Q159" s="6"/>
    </row>
    <row r="160" spans="1:17" ht="18">
      <c r="A160" s="6"/>
      <c r="B160" s="6"/>
      <c r="C160" s="6"/>
      <c r="D160" s="6"/>
      <c r="E160" s="6"/>
      <c r="F160" s="7"/>
      <c r="G160" s="8"/>
      <c r="H160" s="6"/>
      <c r="I160" s="6"/>
      <c r="J160" s="7"/>
      <c r="K160" s="7"/>
      <c r="L160" s="7"/>
      <c r="M160" s="7"/>
      <c r="N160" s="7"/>
      <c r="O160" s="9"/>
      <c r="P160" s="6"/>
      <c r="Q160" s="6"/>
    </row>
    <row r="161" spans="1:17" ht="18">
      <c r="A161" s="6"/>
      <c r="B161" s="6"/>
      <c r="C161" s="6"/>
      <c r="D161" s="6"/>
      <c r="E161" s="6"/>
      <c r="F161" s="7"/>
      <c r="G161" s="8"/>
      <c r="H161" s="6"/>
      <c r="I161" s="6"/>
      <c r="J161" s="7"/>
      <c r="K161" s="7"/>
      <c r="L161" s="7"/>
      <c r="M161" s="7"/>
      <c r="N161" s="7"/>
      <c r="O161" s="9"/>
      <c r="P161" s="6"/>
      <c r="Q161" s="6"/>
    </row>
    <row r="162" spans="1:17" ht="18">
      <c r="A162" s="6"/>
      <c r="B162" s="6"/>
      <c r="C162" s="6"/>
      <c r="D162" s="6"/>
      <c r="E162" s="6"/>
      <c r="F162" s="7"/>
      <c r="G162" s="8"/>
      <c r="H162" s="6"/>
      <c r="I162" s="6"/>
      <c r="J162" s="7"/>
      <c r="K162" s="7"/>
      <c r="L162" s="7"/>
      <c r="M162" s="7"/>
      <c r="N162" s="7"/>
      <c r="O162" s="9"/>
      <c r="P162" s="6"/>
      <c r="Q162" s="6"/>
    </row>
    <row r="163" spans="1:17" ht="18">
      <c r="A163" s="6"/>
      <c r="B163" s="6"/>
      <c r="C163" s="6"/>
      <c r="D163" s="6"/>
      <c r="E163" s="6"/>
      <c r="F163" s="7"/>
      <c r="G163" s="8"/>
      <c r="H163" s="6"/>
      <c r="I163" s="6"/>
      <c r="J163" s="7"/>
      <c r="K163" s="7"/>
      <c r="L163" s="7"/>
      <c r="M163" s="7"/>
      <c r="N163" s="7"/>
      <c r="O163" s="9"/>
      <c r="P163" s="6"/>
      <c r="Q163" s="6"/>
    </row>
    <row r="164" spans="1:17" ht="18">
      <c r="A164" s="6"/>
      <c r="B164" s="6"/>
      <c r="C164" s="6"/>
      <c r="D164" s="6"/>
      <c r="E164" s="6"/>
      <c r="F164" s="7"/>
      <c r="G164" s="8"/>
      <c r="H164" s="6"/>
      <c r="I164" s="6"/>
      <c r="J164" s="7"/>
      <c r="K164" s="7"/>
      <c r="L164" s="7"/>
      <c r="M164" s="7"/>
      <c r="N164" s="7"/>
      <c r="O164" s="9"/>
      <c r="P164" s="6"/>
      <c r="Q164" s="6"/>
    </row>
    <row r="165" spans="1:17" ht="18">
      <c r="A165" s="6"/>
      <c r="B165" s="6"/>
      <c r="C165" s="6"/>
      <c r="D165" s="6"/>
      <c r="E165" s="6"/>
      <c r="F165" s="7"/>
      <c r="G165" s="8"/>
      <c r="H165" s="6"/>
      <c r="I165" s="6"/>
      <c r="J165" s="7"/>
      <c r="K165" s="7"/>
      <c r="L165" s="7"/>
      <c r="M165" s="7"/>
      <c r="N165" s="7"/>
      <c r="O165" s="9"/>
      <c r="P165" s="6"/>
      <c r="Q165" s="6"/>
    </row>
    <row r="166" spans="1:17" ht="18">
      <c r="A166" s="6"/>
      <c r="B166" s="6"/>
      <c r="C166" s="6"/>
      <c r="D166" s="6"/>
      <c r="E166" s="6"/>
      <c r="F166" s="7"/>
      <c r="G166" s="8"/>
      <c r="H166" s="6"/>
      <c r="I166" s="6"/>
      <c r="J166" s="7"/>
      <c r="K166" s="7"/>
      <c r="L166" s="7"/>
      <c r="M166" s="7"/>
      <c r="N166" s="7"/>
      <c r="O166" s="9"/>
      <c r="P166" s="6"/>
      <c r="Q166" s="6"/>
    </row>
    <row r="167" spans="1:17" ht="18">
      <c r="A167" s="6"/>
      <c r="B167" s="6"/>
      <c r="C167" s="6"/>
      <c r="D167" s="6"/>
      <c r="E167" s="6"/>
      <c r="F167" s="7"/>
      <c r="G167" s="8"/>
      <c r="H167" s="6"/>
      <c r="I167" s="6"/>
      <c r="J167" s="7"/>
      <c r="K167" s="7"/>
      <c r="L167" s="7"/>
      <c r="M167" s="7"/>
      <c r="N167" s="7"/>
      <c r="O167" s="9"/>
      <c r="P167" s="6"/>
      <c r="Q167" s="6"/>
    </row>
    <row r="168" spans="1:17" ht="18">
      <c r="A168" s="6"/>
      <c r="B168" s="6"/>
      <c r="C168" s="6"/>
      <c r="D168" s="6"/>
      <c r="E168" s="6"/>
      <c r="F168" s="7"/>
      <c r="G168" s="8"/>
      <c r="H168" s="6"/>
      <c r="I168" s="6"/>
      <c r="J168" s="7"/>
      <c r="K168" s="7"/>
      <c r="L168" s="7"/>
      <c r="M168" s="7"/>
      <c r="N168" s="7"/>
      <c r="O168" s="9"/>
      <c r="P168" s="6"/>
      <c r="Q168" s="6"/>
    </row>
    <row r="169" spans="1:17" ht="18">
      <c r="A169" s="6"/>
      <c r="B169" s="6"/>
      <c r="C169" s="6"/>
      <c r="D169" s="6"/>
      <c r="E169" s="6"/>
      <c r="F169" s="7"/>
      <c r="G169" s="8"/>
      <c r="H169" s="6"/>
      <c r="I169" s="6"/>
      <c r="J169" s="7"/>
      <c r="K169" s="7"/>
      <c r="L169" s="7"/>
      <c r="M169" s="7"/>
      <c r="N169" s="7"/>
      <c r="O169" s="9"/>
      <c r="P169" s="6"/>
      <c r="Q169" s="6"/>
    </row>
    <row r="170" spans="1:17" ht="18">
      <c r="A170" s="6"/>
      <c r="B170" s="6"/>
      <c r="C170" s="6"/>
      <c r="D170" s="6"/>
      <c r="E170" s="6"/>
      <c r="F170" s="7"/>
      <c r="G170" s="8"/>
      <c r="H170" s="6"/>
      <c r="I170" s="6"/>
      <c r="J170" s="7"/>
      <c r="K170" s="7"/>
      <c r="L170" s="7"/>
      <c r="M170" s="7"/>
      <c r="N170" s="7"/>
      <c r="O170" s="9"/>
      <c r="P170" s="6"/>
      <c r="Q170" s="6"/>
    </row>
    <row r="171" spans="1:17" ht="18">
      <c r="A171" s="6"/>
      <c r="B171" s="6"/>
      <c r="C171" s="6"/>
      <c r="D171" s="6"/>
      <c r="E171" s="6"/>
      <c r="F171" s="7"/>
      <c r="G171" s="8"/>
      <c r="H171" s="6"/>
      <c r="I171" s="6"/>
      <c r="J171" s="7"/>
      <c r="K171" s="7"/>
      <c r="L171" s="7"/>
      <c r="M171" s="7"/>
      <c r="N171" s="7"/>
      <c r="O171" s="9"/>
      <c r="P171" s="6"/>
      <c r="Q171" s="10"/>
    </row>
    <row r="172" spans="1:17" ht="18">
      <c r="A172" s="6"/>
      <c r="B172" s="6"/>
      <c r="C172" s="6"/>
      <c r="D172" s="6"/>
      <c r="E172" s="35"/>
      <c r="F172" s="36"/>
      <c r="G172" s="37"/>
      <c r="H172" s="6"/>
      <c r="I172" s="6"/>
      <c r="J172" s="7"/>
      <c r="K172" s="7"/>
      <c r="L172" s="7"/>
      <c r="M172" s="7"/>
      <c r="N172" s="7"/>
      <c r="O172" s="9"/>
      <c r="P172" s="6"/>
      <c r="Q172" s="6"/>
    </row>
    <row r="173" spans="1:17" ht="18">
      <c r="A173" s="6"/>
      <c r="B173" s="6"/>
      <c r="C173" s="6"/>
      <c r="D173" s="6"/>
      <c r="E173" s="35"/>
      <c r="F173" s="36"/>
      <c r="G173" s="37"/>
      <c r="H173" s="6"/>
      <c r="I173" s="6"/>
      <c r="J173" s="7"/>
      <c r="K173" s="7"/>
      <c r="L173" s="7"/>
      <c r="M173" s="7"/>
      <c r="N173" s="7"/>
      <c r="O173" s="9"/>
      <c r="P173" s="6"/>
      <c r="Q173" s="6"/>
    </row>
    <row r="174" spans="1:17" ht="18">
      <c r="A174" s="6"/>
      <c r="B174" s="6"/>
      <c r="C174" s="6"/>
      <c r="D174" s="6"/>
      <c r="E174" s="6"/>
      <c r="F174" s="11"/>
      <c r="G174" s="8"/>
      <c r="H174" s="6"/>
      <c r="I174" s="6"/>
      <c r="J174" s="7"/>
      <c r="K174" s="7"/>
      <c r="L174" s="7"/>
      <c r="M174" s="7"/>
      <c r="N174" s="7"/>
      <c r="O174" s="9"/>
      <c r="P174" s="6"/>
      <c r="Q174" s="6"/>
    </row>
    <row r="175" spans="1:17" ht="18">
      <c r="A175" s="6"/>
      <c r="B175" s="6"/>
      <c r="C175" s="6"/>
      <c r="D175" s="6"/>
      <c r="E175" s="6"/>
      <c r="F175" s="7"/>
      <c r="G175" s="8"/>
      <c r="H175" s="6"/>
      <c r="I175" s="6"/>
      <c r="J175" s="7"/>
      <c r="K175" s="7"/>
      <c r="L175" s="7"/>
      <c r="M175" s="7"/>
      <c r="N175" s="7"/>
      <c r="O175" s="9"/>
      <c r="P175" s="6"/>
      <c r="Q175" s="6"/>
    </row>
    <row r="176" spans="1:17" ht="18">
      <c r="A176" s="6"/>
      <c r="B176" s="6"/>
      <c r="C176" s="6"/>
      <c r="D176" s="6"/>
      <c r="E176" s="6"/>
      <c r="F176" s="7"/>
      <c r="G176" s="8"/>
      <c r="H176" s="6"/>
      <c r="I176" s="6"/>
      <c r="J176" s="7"/>
      <c r="K176" s="7"/>
      <c r="L176" s="7"/>
      <c r="M176" s="7"/>
      <c r="N176" s="7"/>
      <c r="O176" s="9"/>
      <c r="P176" s="6"/>
      <c r="Q176" s="6"/>
    </row>
    <row r="177" spans="1:17" ht="18">
      <c r="A177" s="6"/>
      <c r="B177" s="6"/>
      <c r="C177" s="6"/>
      <c r="D177" s="6"/>
      <c r="E177" s="6"/>
      <c r="F177" s="7"/>
      <c r="G177" s="8"/>
      <c r="H177" s="6"/>
      <c r="I177" s="6"/>
      <c r="J177" s="7"/>
      <c r="K177" s="7"/>
      <c r="L177" s="7"/>
      <c r="M177" s="7"/>
      <c r="N177" s="7"/>
      <c r="O177" s="9"/>
      <c r="P177" s="6"/>
      <c r="Q177" s="6"/>
    </row>
    <row r="178" spans="1:17" ht="18">
      <c r="A178" s="6"/>
      <c r="B178" s="6"/>
      <c r="C178" s="6"/>
      <c r="D178" s="6"/>
      <c r="E178" s="6"/>
      <c r="F178" s="7"/>
      <c r="G178" s="8"/>
      <c r="H178" s="6"/>
      <c r="I178" s="6"/>
      <c r="J178" s="7"/>
      <c r="K178" s="7"/>
      <c r="L178" s="7"/>
      <c r="M178" s="7"/>
      <c r="N178" s="7"/>
      <c r="O178" s="9"/>
      <c r="P178" s="6"/>
      <c r="Q178" s="6"/>
    </row>
    <row r="179" spans="1:17" ht="18">
      <c r="A179" s="6"/>
      <c r="B179" s="6"/>
      <c r="C179" s="6"/>
      <c r="D179" s="6"/>
      <c r="E179" s="6"/>
      <c r="F179" s="7"/>
      <c r="G179" s="8"/>
      <c r="H179" s="6"/>
      <c r="I179" s="6"/>
      <c r="J179" s="7"/>
      <c r="K179" s="7"/>
      <c r="L179" s="7"/>
      <c r="M179" s="7"/>
      <c r="N179" s="7"/>
      <c r="O179" s="9"/>
      <c r="P179" s="6"/>
      <c r="Q179" s="6"/>
    </row>
    <row r="180" spans="1:17" ht="18">
      <c r="A180" s="6"/>
      <c r="B180" s="6"/>
      <c r="C180" s="6"/>
      <c r="D180" s="6"/>
      <c r="E180" s="6"/>
      <c r="F180" s="7"/>
      <c r="G180" s="6"/>
      <c r="H180" s="8"/>
      <c r="I180" s="6"/>
      <c r="J180" s="7"/>
      <c r="K180" s="7"/>
      <c r="L180" s="7"/>
      <c r="M180" s="7"/>
      <c r="N180" s="7"/>
      <c r="O180" s="9"/>
      <c r="P180" s="6"/>
      <c r="Q180" s="10"/>
    </row>
    <row r="181" spans="1:17" ht="18">
      <c r="A181" s="6"/>
      <c r="B181" s="6"/>
      <c r="C181" s="6"/>
      <c r="D181" s="6"/>
      <c r="E181" s="6"/>
      <c r="F181" s="7"/>
      <c r="G181" s="6"/>
      <c r="H181" s="8"/>
      <c r="I181" s="6"/>
      <c r="J181" s="7"/>
      <c r="K181" s="7"/>
      <c r="L181" s="7"/>
      <c r="M181" s="7"/>
      <c r="N181" s="7"/>
      <c r="O181" s="9"/>
      <c r="P181" s="6"/>
      <c r="Q181" s="6"/>
    </row>
    <row r="182" spans="1:17" ht="18">
      <c r="A182" s="6"/>
      <c r="B182" s="6"/>
      <c r="C182" s="6"/>
      <c r="D182" s="6"/>
      <c r="E182" s="6"/>
      <c r="F182" s="7"/>
      <c r="G182" s="6"/>
      <c r="H182" s="8"/>
      <c r="I182" s="6"/>
      <c r="J182" s="7"/>
      <c r="K182" s="7"/>
      <c r="L182" s="7"/>
      <c r="M182" s="7"/>
      <c r="N182" s="7"/>
      <c r="O182" s="9"/>
      <c r="P182" s="6"/>
      <c r="Q182" s="6"/>
    </row>
    <row r="183" spans="1:17" ht="18">
      <c r="A183" s="6"/>
      <c r="B183" s="6"/>
      <c r="C183" s="6"/>
      <c r="D183" s="6"/>
      <c r="E183" s="6"/>
      <c r="F183" s="7"/>
      <c r="G183" s="8"/>
      <c r="H183" s="6"/>
      <c r="I183" s="6"/>
      <c r="J183" s="7"/>
      <c r="K183" s="7"/>
      <c r="L183" s="7"/>
      <c r="M183" s="7"/>
      <c r="N183" s="7"/>
      <c r="O183" s="9"/>
      <c r="P183" s="6"/>
      <c r="Q183" s="6"/>
    </row>
    <row r="184" spans="1:17" ht="18">
      <c r="A184" s="6"/>
      <c r="B184" s="6"/>
      <c r="C184" s="6"/>
      <c r="D184" s="6"/>
      <c r="E184" s="6"/>
      <c r="F184" s="7"/>
      <c r="G184" s="8"/>
      <c r="H184" s="6"/>
      <c r="I184" s="6"/>
      <c r="J184" s="7"/>
      <c r="K184" s="7"/>
      <c r="L184" s="7"/>
      <c r="M184" s="7"/>
      <c r="N184" s="7"/>
      <c r="O184" s="9"/>
      <c r="P184" s="6"/>
      <c r="Q184" s="6"/>
    </row>
    <row r="185" spans="1:17" ht="18">
      <c r="A185" s="6"/>
      <c r="B185" s="6"/>
      <c r="C185" s="6"/>
      <c r="D185" s="6"/>
      <c r="E185" s="6"/>
      <c r="F185" s="7"/>
      <c r="G185" s="6"/>
      <c r="H185" s="8"/>
      <c r="I185" s="6"/>
      <c r="J185" s="7"/>
      <c r="K185" s="7"/>
      <c r="L185" s="7"/>
      <c r="M185" s="7"/>
      <c r="N185" s="7"/>
      <c r="O185" s="9"/>
      <c r="P185" s="6"/>
      <c r="Q185" s="6"/>
    </row>
    <row r="186" spans="1:17" ht="18">
      <c r="A186" s="6"/>
      <c r="B186" s="6"/>
      <c r="C186" s="6"/>
      <c r="D186" s="6"/>
      <c r="E186" s="6"/>
      <c r="F186" s="7"/>
      <c r="G186" s="6"/>
      <c r="H186" s="8"/>
      <c r="I186" s="6"/>
      <c r="J186" s="7"/>
      <c r="K186" s="7"/>
      <c r="L186" s="7"/>
      <c r="M186" s="7"/>
      <c r="N186" s="7"/>
      <c r="O186" s="9"/>
      <c r="P186" s="6"/>
      <c r="Q186" s="10"/>
    </row>
    <row r="187" spans="1:17" ht="18">
      <c r="A187" s="6"/>
      <c r="B187" s="6"/>
      <c r="C187" s="6"/>
      <c r="D187" s="6"/>
      <c r="E187" s="6"/>
      <c r="F187" s="7"/>
      <c r="G187" s="6"/>
      <c r="H187" s="8"/>
      <c r="I187" s="6"/>
      <c r="J187" s="7"/>
      <c r="K187" s="7"/>
      <c r="L187" s="7"/>
      <c r="M187" s="7"/>
      <c r="N187" s="7"/>
      <c r="O187" s="9"/>
      <c r="P187" s="6"/>
      <c r="Q187" s="6"/>
    </row>
    <row r="188" spans="1:17" ht="18">
      <c r="A188" s="6"/>
      <c r="B188" s="6"/>
      <c r="C188" s="6"/>
      <c r="D188" s="6"/>
      <c r="E188" s="6"/>
      <c r="F188" s="7"/>
      <c r="G188" s="6"/>
      <c r="H188" s="8"/>
      <c r="I188" s="6"/>
      <c r="J188" s="7"/>
      <c r="K188" s="7"/>
      <c r="L188" s="7"/>
      <c r="M188" s="7"/>
      <c r="N188" s="7"/>
      <c r="O188" s="9"/>
      <c r="P188" s="6"/>
      <c r="Q188" s="10"/>
    </row>
    <row r="189" spans="1:17" ht="18">
      <c r="A189" s="6"/>
      <c r="B189" s="6"/>
      <c r="C189" s="6"/>
      <c r="D189" s="6"/>
      <c r="E189" s="6"/>
      <c r="F189" s="7"/>
      <c r="G189" s="8"/>
      <c r="H189" s="6"/>
      <c r="I189" s="6"/>
      <c r="J189" s="7"/>
      <c r="K189" s="7"/>
      <c r="L189" s="7"/>
      <c r="M189" s="7"/>
      <c r="N189" s="7"/>
      <c r="O189" s="9"/>
      <c r="P189" s="6"/>
      <c r="Q189" s="6"/>
    </row>
    <row r="190" spans="1:17" ht="18">
      <c r="A190" s="6"/>
      <c r="B190" s="6"/>
      <c r="C190" s="6"/>
      <c r="D190" s="6"/>
      <c r="E190" s="6"/>
      <c r="F190" s="7"/>
      <c r="G190" s="8"/>
      <c r="H190" s="6"/>
      <c r="I190" s="6"/>
      <c r="J190" s="7"/>
      <c r="K190" s="7"/>
      <c r="L190" s="7"/>
      <c r="M190" s="7"/>
      <c r="N190" s="7"/>
      <c r="O190" s="9"/>
      <c r="P190" s="6"/>
      <c r="Q190" s="10"/>
    </row>
    <row r="191" spans="1:17" ht="18">
      <c r="A191" s="6"/>
      <c r="B191" s="6"/>
      <c r="C191" s="6"/>
      <c r="D191" s="6"/>
      <c r="E191" s="6"/>
      <c r="F191" s="7"/>
      <c r="G191" s="8"/>
      <c r="H191" s="6"/>
      <c r="I191" s="6"/>
      <c r="J191" s="7"/>
      <c r="K191" s="7"/>
      <c r="L191" s="7"/>
      <c r="M191" s="7"/>
      <c r="N191" s="7"/>
      <c r="O191" s="9"/>
      <c r="P191" s="6"/>
      <c r="Q191" s="10"/>
    </row>
    <row r="192" spans="1:17" ht="18">
      <c r="A192" s="6"/>
      <c r="B192" s="6"/>
      <c r="C192" s="6"/>
      <c r="D192" s="6"/>
      <c r="E192" s="6"/>
      <c r="F192" s="7"/>
      <c r="G192" s="8"/>
      <c r="H192" s="6"/>
      <c r="I192" s="6"/>
      <c r="J192" s="7"/>
      <c r="K192" s="7"/>
      <c r="L192" s="7"/>
      <c r="M192" s="7"/>
      <c r="N192" s="7"/>
      <c r="O192" s="9"/>
      <c r="P192" s="6"/>
      <c r="Q192" s="10"/>
    </row>
    <row r="193" spans="1:17" ht="18">
      <c r="A193" s="6"/>
      <c r="B193" s="6"/>
      <c r="C193" s="6"/>
      <c r="D193" s="6"/>
      <c r="E193" s="6"/>
      <c r="F193" s="7"/>
      <c r="G193" s="8"/>
      <c r="H193" s="6"/>
      <c r="I193" s="6"/>
      <c r="J193" s="7"/>
      <c r="K193" s="7"/>
      <c r="L193" s="7"/>
      <c r="M193" s="7"/>
      <c r="N193" s="7"/>
      <c r="O193" s="9"/>
      <c r="P193" s="6"/>
      <c r="Q193" s="6"/>
    </row>
    <row r="194" spans="1:17" ht="18">
      <c r="A194" s="6"/>
      <c r="B194" s="6"/>
      <c r="C194" s="6"/>
      <c r="D194" s="6"/>
      <c r="E194" s="6"/>
      <c r="F194" s="7"/>
      <c r="G194" s="8"/>
      <c r="H194" s="6"/>
      <c r="I194" s="6"/>
      <c r="J194" s="7"/>
      <c r="K194" s="7"/>
      <c r="L194" s="7"/>
      <c r="M194" s="7"/>
      <c r="N194" s="7"/>
      <c r="O194" s="9"/>
      <c r="P194" s="6"/>
      <c r="Q194" s="6"/>
    </row>
    <row r="195" spans="1:17" ht="18">
      <c r="A195" s="6"/>
      <c r="B195" s="6"/>
      <c r="C195" s="6"/>
      <c r="D195" s="6"/>
      <c r="E195" s="6"/>
      <c r="F195" s="7"/>
      <c r="G195" s="6"/>
      <c r="H195" s="8"/>
      <c r="I195" s="6"/>
      <c r="J195" s="7"/>
      <c r="K195" s="7"/>
      <c r="L195" s="7"/>
      <c r="M195" s="7"/>
      <c r="N195" s="7"/>
      <c r="O195" s="9"/>
      <c r="P195" s="6"/>
      <c r="Q195" s="10"/>
    </row>
    <row r="196" spans="1:17" ht="18">
      <c r="A196" s="6"/>
      <c r="B196" s="6"/>
      <c r="C196" s="6"/>
      <c r="D196" s="6"/>
      <c r="E196" s="6"/>
      <c r="F196" s="7"/>
      <c r="G196" s="6"/>
      <c r="H196" s="8"/>
      <c r="I196" s="6"/>
      <c r="J196" s="7"/>
      <c r="K196" s="7"/>
      <c r="L196" s="7"/>
      <c r="M196" s="7"/>
      <c r="N196" s="7"/>
      <c r="O196" s="9"/>
      <c r="P196" s="6"/>
      <c r="Q196" s="10"/>
    </row>
    <row r="197" spans="1:17" ht="18">
      <c r="A197" s="6"/>
      <c r="B197" s="6"/>
      <c r="C197" s="6"/>
      <c r="D197" s="6"/>
      <c r="E197" s="6"/>
      <c r="F197" s="7"/>
      <c r="G197" s="6"/>
      <c r="H197" s="8"/>
      <c r="I197" s="6"/>
      <c r="J197" s="7"/>
      <c r="K197" s="7"/>
      <c r="L197" s="7"/>
      <c r="M197" s="7"/>
      <c r="N197" s="7"/>
      <c r="O197" s="9"/>
      <c r="P197" s="6"/>
      <c r="Q197" s="10"/>
    </row>
    <row r="198" spans="1:17" ht="18">
      <c r="A198" s="6"/>
      <c r="B198" s="6"/>
      <c r="C198" s="6"/>
      <c r="D198" s="6"/>
      <c r="E198" s="6"/>
      <c r="F198" s="7"/>
      <c r="G198" s="6"/>
      <c r="H198" s="8"/>
      <c r="I198" s="6"/>
      <c r="J198" s="7"/>
      <c r="K198" s="7"/>
      <c r="L198" s="7"/>
      <c r="M198" s="7"/>
      <c r="N198" s="7"/>
      <c r="O198" s="9"/>
      <c r="P198" s="6"/>
      <c r="Q198" s="10"/>
    </row>
    <row r="199" spans="1:17" ht="18">
      <c r="A199" s="6"/>
      <c r="B199" s="6"/>
      <c r="C199" s="6"/>
      <c r="D199" s="6"/>
      <c r="E199" s="6"/>
      <c r="F199" s="7"/>
      <c r="G199" s="6"/>
      <c r="H199" s="8"/>
      <c r="I199" s="6"/>
      <c r="J199" s="7"/>
      <c r="K199" s="7"/>
      <c r="L199" s="7"/>
      <c r="M199" s="7"/>
      <c r="N199" s="7"/>
      <c r="O199" s="9"/>
      <c r="P199" s="6"/>
      <c r="Q199" s="10"/>
    </row>
    <row r="200" spans="1:17" ht="18">
      <c r="A200" s="6"/>
      <c r="B200" s="6"/>
      <c r="C200" s="6"/>
      <c r="D200" s="6"/>
      <c r="E200" s="6"/>
      <c r="F200" s="7"/>
      <c r="G200" s="8"/>
      <c r="H200" s="6"/>
      <c r="I200" s="6"/>
      <c r="J200" s="7"/>
      <c r="K200" s="7"/>
      <c r="L200" s="7"/>
      <c r="M200" s="7"/>
      <c r="N200" s="7"/>
      <c r="O200" s="9"/>
      <c r="P200" s="6"/>
      <c r="Q200" s="10"/>
    </row>
    <row r="201" spans="1:17" ht="18">
      <c r="A201" s="6"/>
      <c r="B201" s="6"/>
      <c r="C201" s="6"/>
      <c r="D201" s="6"/>
      <c r="E201" s="6"/>
      <c r="F201" s="7"/>
      <c r="G201" s="8"/>
      <c r="H201" s="6"/>
      <c r="I201" s="6"/>
      <c r="J201" s="7"/>
      <c r="K201" s="7"/>
      <c r="L201" s="7"/>
      <c r="M201" s="7"/>
      <c r="N201" s="7"/>
      <c r="O201" s="9"/>
      <c r="P201" s="6"/>
      <c r="Q201" s="10"/>
    </row>
    <row r="202" spans="1:17" ht="18">
      <c r="A202" s="6"/>
      <c r="B202" s="6"/>
      <c r="C202" s="6"/>
      <c r="D202" s="6"/>
      <c r="E202" s="6"/>
      <c r="F202" s="7"/>
      <c r="G202" s="8"/>
      <c r="H202" s="6"/>
      <c r="I202" s="6"/>
      <c r="J202" s="7"/>
      <c r="K202" s="7"/>
      <c r="L202" s="7"/>
      <c r="M202" s="7"/>
      <c r="N202" s="7"/>
      <c r="O202" s="9"/>
      <c r="P202" s="6"/>
      <c r="Q202" s="10"/>
    </row>
    <row r="203" spans="1:17" ht="18">
      <c r="A203" s="6"/>
      <c r="B203" s="6"/>
      <c r="C203" s="6"/>
      <c r="D203" s="6"/>
      <c r="E203" s="6"/>
      <c r="F203" s="7"/>
      <c r="G203" s="8"/>
      <c r="H203" s="6"/>
      <c r="I203" s="6"/>
      <c r="J203" s="7"/>
      <c r="K203" s="7"/>
      <c r="L203" s="7"/>
      <c r="M203" s="7"/>
      <c r="N203" s="7"/>
      <c r="O203" s="9"/>
      <c r="P203" s="6"/>
      <c r="Q203" s="6"/>
    </row>
    <row r="204" spans="1:17" ht="18">
      <c r="A204" s="6"/>
      <c r="B204" s="6"/>
      <c r="C204" s="6"/>
      <c r="D204" s="6"/>
      <c r="E204" s="6"/>
      <c r="F204" s="7"/>
      <c r="G204" s="6"/>
      <c r="H204" s="8"/>
      <c r="I204" s="6"/>
      <c r="J204" s="7"/>
      <c r="K204" s="7"/>
      <c r="L204" s="7"/>
      <c r="M204" s="7"/>
      <c r="N204" s="7"/>
      <c r="O204" s="9"/>
      <c r="P204" s="6"/>
      <c r="Q204" s="10"/>
    </row>
    <row r="205" spans="1:17" ht="18">
      <c r="A205" s="6"/>
      <c r="B205" s="6"/>
      <c r="C205" s="6"/>
      <c r="D205" s="6"/>
      <c r="E205" s="6"/>
      <c r="F205" s="7"/>
      <c r="G205" s="8"/>
      <c r="H205" s="6"/>
      <c r="I205" s="6"/>
      <c r="J205" s="7"/>
      <c r="K205" s="7"/>
      <c r="L205" s="7"/>
      <c r="M205" s="7"/>
      <c r="N205" s="7"/>
      <c r="O205" s="9"/>
      <c r="P205" s="6"/>
      <c r="Q205" s="10"/>
    </row>
    <row r="206" spans="1:17" ht="18">
      <c r="A206" s="6"/>
      <c r="B206" s="6"/>
      <c r="C206" s="6"/>
      <c r="D206" s="6"/>
      <c r="E206" s="6"/>
      <c r="F206" s="7"/>
      <c r="G206" s="6"/>
      <c r="H206" s="8"/>
      <c r="I206" s="6"/>
      <c r="J206" s="7"/>
      <c r="K206" s="7"/>
      <c r="L206" s="7"/>
      <c r="M206" s="7"/>
      <c r="N206" s="7"/>
      <c r="O206" s="9"/>
      <c r="P206" s="6"/>
      <c r="Q206" s="10"/>
    </row>
    <row r="207" spans="1:17" ht="18">
      <c r="A207" s="6"/>
      <c r="B207" s="6"/>
      <c r="C207" s="6"/>
      <c r="D207" s="6"/>
      <c r="E207" s="6"/>
      <c r="F207" s="7"/>
      <c r="G207" s="6"/>
      <c r="H207" s="8"/>
      <c r="I207" s="6"/>
      <c r="J207" s="7"/>
      <c r="K207" s="7"/>
      <c r="L207" s="7"/>
      <c r="M207" s="7"/>
      <c r="N207" s="7"/>
      <c r="O207" s="9"/>
      <c r="P207" s="6"/>
      <c r="Q207" s="6"/>
    </row>
    <row r="208" spans="1:17" ht="18">
      <c r="A208" s="6"/>
      <c r="B208" s="6"/>
      <c r="C208" s="6"/>
      <c r="D208" s="6"/>
      <c r="E208" s="6"/>
      <c r="F208" s="7"/>
      <c r="G208" s="6"/>
      <c r="H208" s="8"/>
      <c r="I208" s="6"/>
      <c r="J208" s="7"/>
      <c r="K208" s="7"/>
      <c r="L208" s="7"/>
      <c r="M208" s="7"/>
      <c r="N208" s="7"/>
      <c r="O208" s="9"/>
      <c r="P208" s="6"/>
      <c r="Q208" s="6"/>
    </row>
    <row r="209" spans="1:17" ht="18">
      <c r="A209" s="6"/>
      <c r="B209" s="6"/>
      <c r="C209" s="6"/>
      <c r="D209" s="6"/>
      <c r="E209" s="6"/>
      <c r="F209" s="7"/>
      <c r="G209" s="6"/>
      <c r="H209" s="8"/>
      <c r="I209" s="6"/>
      <c r="J209" s="7"/>
      <c r="K209" s="7"/>
      <c r="L209" s="7"/>
      <c r="M209" s="7"/>
      <c r="N209" s="7"/>
      <c r="O209" s="9"/>
      <c r="P209" s="6"/>
      <c r="Q209" s="6"/>
    </row>
    <row r="210" spans="1:17" ht="18">
      <c r="A210" s="6"/>
      <c r="B210" s="6"/>
      <c r="C210" s="6"/>
      <c r="D210" s="6"/>
      <c r="E210" s="6"/>
      <c r="F210" s="7"/>
      <c r="G210" s="6"/>
      <c r="H210" s="8"/>
      <c r="I210" s="6"/>
      <c r="J210" s="7"/>
      <c r="K210" s="7"/>
      <c r="L210" s="7"/>
      <c r="M210" s="7"/>
      <c r="N210" s="7"/>
      <c r="O210" s="9"/>
      <c r="P210" s="6"/>
      <c r="Q210" s="10"/>
    </row>
    <row r="211" spans="1:17" ht="18">
      <c r="A211" s="6"/>
      <c r="B211" s="6"/>
      <c r="C211" s="6"/>
      <c r="D211" s="6"/>
      <c r="E211" s="6"/>
      <c r="F211" s="7"/>
      <c r="G211" s="6"/>
      <c r="H211" s="8"/>
      <c r="I211" s="6"/>
      <c r="J211" s="7"/>
      <c r="K211" s="7"/>
      <c r="L211" s="7"/>
      <c r="M211" s="7"/>
      <c r="N211" s="7"/>
      <c r="O211" s="9"/>
      <c r="P211" s="6"/>
      <c r="Q211" s="10"/>
    </row>
    <row r="212" spans="1:17" ht="18">
      <c r="A212" s="6"/>
      <c r="B212" s="6"/>
      <c r="C212" s="6"/>
      <c r="D212" s="6"/>
      <c r="E212" s="6"/>
      <c r="F212" s="7"/>
      <c r="G212" s="6"/>
      <c r="H212" s="8"/>
      <c r="I212" s="6"/>
      <c r="J212" s="7"/>
      <c r="K212" s="7"/>
      <c r="L212" s="7"/>
      <c r="M212" s="7"/>
      <c r="N212" s="7"/>
      <c r="O212" s="9"/>
      <c r="P212" s="6"/>
      <c r="Q212" s="10"/>
    </row>
    <row r="213" spans="1:17" ht="18">
      <c r="A213" s="6"/>
      <c r="B213" s="6"/>
      <c r="C213" s="6"/>
      <c r="D213" s="6"/>
      <c r="E213" s="6"/>
      <c r="F213" s="7"/>
      <c r="G213" s="6"/>
      <c r="H213" s="8"/>
      <c r="I213" s="8"/>
      <c r="J213" s="7"/>
      <c r="K213" s="7"/>
      <c r="L213" s="7"/>
      <c r="M213" s="7"/>
      <c r="N213" s="7"/>
      <c r="O213" s="9"/>
      <c r="P213" s="6"/>
      <c r="Q213" s="10"/>
    </row>
    <row r="214" spans="1:17" ht="18">
      <c r="A214" s="6"/>
      <c r="B214" s="6"/>
      <c r="C214" s="6"/>
      <c r="D214" s="6"/>
      <c r="E214" s="6"/>
      <c r="F214" s="7"/>
      <c r="G214" s="6"/>
      <c r="H214" s="8"/>
      <c r="I214" s="6"/>
      <c r="J214" s="7"/>
      <c r="K214" s="7"/>
      <c r="L214" s="7"/>
      <c r="M214" s="7"/>
      <c r="N214" s="7"/>
      <c r="O214" s="9"/>
      <c r="P214" s="6"/>
      <c r="Q214" s="10"/>
    </row>
    <row r="215" spans="1:17" ht="18">
      <c r="A215" s="6"/>
      <c r="B215" s="6"/>
      <c r="C215" s="6"/>
      <c r="D215" s="6"/>
      <c r="E215" s="6"/>
      <c r="F215" s="7"/>
      <c r="G215" s="8"/>
      <c r="H215" s="6"/>
      <c r="I215" s="6"/>
      <c r="J215" s="7"/>
      <c r="K215" s="7"/>
      <c r="L215" s="7"/>
      <c r="M215" s="7"/>
      <c r="N215" s="7"/>
      <c r="O215" s="9"/>
      <c r="P215" s="6"/>
      <c r="Q215" s="6"/>
    </row>
    <row r="216" spans="1:17" ht="18">
      <c r="A216" s="6"/>
      <c r="B216" s="6"/>
      <c r="C216" s="6"/>
      <c r="D216" s="6"/>
      <c r="E216" s="6"/>
      <c r="F216" s="7"/>
      <c r="G216" s="8"/>
      <c r="H216" s="6"/>
      <c r="I216" s="6"/>
      <c r="J216" s="7"/>
      <c r="K216" s="7"/>
      <c r="L216" s="7"/>
      <c r="M216" s="7"/>
      <c r="N216" s="7"/>
      <c r="O216" s="9"/>
      <c r="P216" s="6"/>
      <c r="Q216" s="6"/>
    </row>
    <row r="217" spans="1:17" ht="18">
      <c r="A217" s="6"/>
      <c r="B217" s="6"/>
      <c r="C217" s="6"/>
      <c r="D217" s="6"/>
      <c r="E217" s="6"/>
      <c r="F217" s="7"/>
      <c r="G217" s="8"/>
      <c r="H217" s="6"/>
      <c r="I217" s="6"/>
      <c r="J217" s="7"/>
      <c r="K217" s="7"/>
      <c r="L217" s="7"/>
      <c r="M217" s="7"/>
      <c r="N217" s="7"/>
      <c r="O217" s="9"/>
      <c r="P217" s="6"/>
      <c r="Q217" s="6"/>
    </row>
    <row r="218" spans="1:17" ht="18">
      <c r="A218" s="6"/>
      <c r="B218" s="6"/>
      <c r="C218" s="6"/>
      <c r="D218" s="6"/>
      <c r="E218" s="6"/>
      <c r="F218" s="7"/>
      <c r="G218" s="8"/>
      <c r="H218" s="6"/>
      <c r="I218" s="6"/>
      <c r="J218" s="7"/>
      <c r="K218" s="7"/>
      <c r="L218" s="7"/>
      <c r="M218" s="7"/>
      <c r="N218" s="7"/>
      <c r="O218" s="9"/>
      <c r="P218" s="6"/>
      <c r="Q218" s="10"/>
    </row>
    <row r="219" spans="1:17" ht="18">
      <c r="A219" s="6"/>
      <c r="B219" s="6"/>
      <c r="C219" s="6"/>
      <c r="D219" s="6"/>
      <c r="E219" s="6"/>
      <c r="F219" s="7"/>
      <c r="G219" s="8"/>
      <c r="H219" s="6"/>
      <c r="I219" s="6"/>
      <c r="J219" s="7"/>
      <c r="K219" s="7"/>
      <c r="L219" s="7"/>
      <c r="M219" s="7"/>
      <c r="N219" s="7"/>
      <c r="O219" s="9"/>
      <c r="P219" s="6"/>
      <c r="Q219" s="6"/>
    </row>
    <row r="220" spans="1:17" ht="18">
      <c r="A220" s="6"/>
      <c r="B220" s="6"/>
      <c r="C220" s="6"/>
      <c r="D220" s="6"/>
      <c r="E220" s="6"/>
      <c r="F220" s="7"/>
      <c r="G220" s="6"/>
      <c r="H220" s="8"/>
      <c r="I220" s="6"/>
      <c r="J220" s="7"/>
      <c r="K220" s="7"/>
      <c r="L220" s="7"/>
      <c r="M220" s="7"/>
      <c r="N220" s="7"/>
      <c r="O220" s="9"/>
      <c r="P220" s="6"/>
      <c r="Q220" s="10"/>
    </row>
    <row r="221" spans="1:17" ht="18">
      <c r="A221" s="6"/>
      <c r="B221" s="6"/>
      <c r="C221" s="6"/>
      <c r="D221" s="6"/>
      <c r="E221" s="6"/>
      <c r="F221" s="7"/>
      <c r="G221" s="6"/>
      <c r="H221" s="8"/>
      <c r="I221" s="6"/>
      <c r="J221" s="7"/>
      <c r="K221" s="7"/>
      <c r="L221" s="7"/>
      <c r="M221" s="7"/>
      <c r="N221" s="7"/>
      <c r="O221" s="9"/>
      <c r="P221" s="6"/>
      <c r="Q221" s="10"/>
    </row>
    <row r="222" spans="1:17" ht="18">
      <c r="A222" s="6"/>
      <c r="B222" s="6"/>
      <c r="C222" s="6"/>
      <c r="D222" s="6"/>
      <c r="E222" s="6"/>
      <c r="F222" s="7"/>
      <c r="G222" s="6"/>
      <c r="H222" s="8"/>
      <c r="I222" s="6"/>
      <c r="J222" s="7"/>
      <c r="K222" s="7"/>
      <c r="L222" s="7"/>
      <c r="M222" s="7"/>
      <c r="N222" s="7"/>
      <c r="O222" s="9"/>
      <c r="P222" s="6"/>
      <c r="Q222" s="6"/>
    </row>
    <row r="223" spans="1:17" ht="18">
      <c r="A223" s="6"/>
      <c r="B223" s="6"/>
      <c r="C223" s="6"/>
      <c r="D223" s="6"/>
      <c r="E223" s="6"/>
      <c r="F223" s="7"/>
      <c r="G223" s="6"/>
      <c r="H223" s="8"/>
      <c r="I223" s="6"/>
      <c r="J223" s="7"/>
      <c r="K223" s="7"/>
      <c r="L223" s="7"/>
      <c r="M223" s="7"/>
      <c r="N223" s="7"/>
      <c r="O223" s="9"/>
      <c r="P223" s="6"/>
      <c r="Q223" s="6"/>
    </row>
    <row r="224" spans="1:17" ht="18">
      <c r="A224" s="6"/>
      <c r="B224" s="6"/>
      <c r="C224" s="6"/>
      <c r="D224" s="6"/>
      <c r="E224" s="6"/>
      <c r="F224" s="7"/>
      <c r="G224" s="6"/>
      <c r="H224" s="8"/>
      <c r="I224" s="6"/>
      <c r="J224" s="7"/>
      <c r="K224" s="7"/>
      <c r="L224" s="7"/>
      <c r="M224" s="7"/>
      <c r="N224" s="7"/>
      <c r="O224" s="9"/>
      <c r="P224" s="6"/>
      <c r="Q224" s="10"/>
    </row>
    <row r="225" spans="1:17" ht="18">
      <c r="A225" s="6"/>
      <c r="B225" s="6"/>
      <c r="C225" s="6"/>
      <c r="D225" s="6"/>
      <c r="E225" s="6"/>
      <c r="F225" s="7"/>
      <c r="G225" s="6"/>
      <c r="H225" s="8"/>
      <c r="I225" s="6"/>
      <c r="J225" s="7"/>
      <c r="K225" s="7"/>
      <c r="L225" s="7"/>
      <c r="M225" s="7"/>
      <c r="N225" s="7"/>
      <c r="O225" s="9"/>
      <c r="P225" s="6"/>
      <c r="Q225" s="10"/>
    </row>
    <row r="226" spans="1:17" ht="18">
      <c r="A226" s="6"/>
      <c r="B226" s="6"/>
      <c r="C226" s="6"/>
      <c r="D226" s="6"/>
      <c r="E226" s="6"/>
      <c r="F226" s="7"/>
      <c r="G226" s="6"/>
      <c r="H226" s="8"/>
      <c r="I226" s="6"/>
      <c r="J226" s="7"/>
      <c r="K226" s="7"/>
      <c r="L226" s="7"/>
      <c r="M226" s="7"/>
      <c r="N226" s="7"/>
      <c r="O226" s="9"/>
      <c r="P226" s="6"/>
      <c r="Q226" s="10"/>
    </row>
    <row r="227" spans="1:17" ht="18">
      <c r="A227" s="6"/>
      <c r="B227" s="6"/>
      <c r="C227" s="6"/>
      <c r="D227" s="6"/>
      <c r="E227" s="6"/>
      <c r="F227" s="7"/>
      <c r="G227" s="6"/>
      <c r="H227" s="8"/>
      <c r="I227" s="6"/>
      <c r="J227" s="7"/>
      <c r="K227" s="7"/>
      <c r="L227" s="7"/>
      <c r="M227" s="7"/>
      <c r="N227" s="7"/>
      <c r="O227" s="9"/>
      <c r="P227" s="6"/>
      <c r="Q227" s="10"/>
    </row>
    <row r="228" spans="1:17" ht="18">
      <c r="A228" s="6"/>
      <c r="B228" s="6"/>
      <c r="C228" s="6"/>
      <c r="D228" s="6"/>
      <c r="E228" s="6"/>
      <c r="F228" s="7"/>
      <c r="G228" s="6"/>
      <c r="H228" s="8"/>
      <c r="I228" s="6"/>
      <c r="J228" s="7"/>
      <c r="K228" s="7"/>
      <c r="L228" s="7"/>
      <c r="M228" s="7"/>
      <c r="N228" s="7"/>
      <c r="O228" s="9"/>
      <c r="P228" s="6"/>
      <c r="Q228" s="6"/>
    </row>
    <row r="229" spans="1:17" ht="18">
      <c r="A229" s="6"/>
      <c r="B229" s="6"/>
      <c r="C229" s="6"/>
      <c r="D229" s="6"/>
      <c r="E229" s="6"/>
      <c r="F229" s="7"/>
      <c r="G229" s="8"/>
      <c r="H229" s="6"/>
      <c r="I229" s="6"/>
      <c r="J229" s="7"/>
      <c r="K229" s="7"/>
      <c r="L229" s="7"/>
      <c r="M229" s="7"/>
      <c r="N229" s="7"/>
      <c r="O229" s="9"/>
      <c r="P229" s="6"/>
      <c r="Q229" s="10"/>
    </row>
    <row r="230" spans="1:17" ht="18">
      <c r="A230" s="6"/>
      <c r="B230" s="6"/>
      <c r="C230" s="6"/>
      <c r="D230" s="6"/>
      <c r="E230" s="6"/>
      <c r="F230" s="7"/>
      <c r="G230" s="8"/>
      <c r="H230" s="6"/>
      <c r="I230" s="6"/>
      <c r="J230" s="7"/>
      <c r="K230" s="7"/>
      <c r="L230" s="7"/>
      <c r="M230" s="7"/>
      <c r="N230" s="7"/>
      <c r="O230" s="9"/>
      <c r="P230" s="6"/>
      <c r="Q230" s="10"/>
    </row>
    <row r="231" spans="1:17" ht="18">
      <c r="A231" s="6"/>
      <c r="B231" s="6"/>
      <c r="C231" s="6"/>
      <c r="D231" s="6"/>
      <c r="E231" s="6"/>
      <c r="F231" s="7"/>
      <c r="G231" s="8"/>
      <c r="H231" s="6"/>
      <c r="I231" s="6"/>
      <c r="J231" s="7"/>
      <c r="K231" s="7"/>
      <c r="L231" s="7"/>
      <c r="M231" s="7"/>
      <c r="N231" s="7"/>
      <c r="O231" s="9"/>
      <c r="P231" s="6"/>
      <c r="Q231" s="6"/>
    </row>
    <row r="232" spans="1:17" ht="18">
      <c r="A232" s="6"/>
      <c r="B232" s="6"/>
      <c r="C232" s="6"/>
      <c r="D232" s="6"/>
      <c r="E232" s="6"/>
      <c r="F232" s="7"/>
      <c r="G232" s="8"/>
      <c r="H232" s="6"/>
      <c r="I232" s="6"/>
      <c r="J232" s="7"/>
      <c r="K232" s="7"/>
      <c r="L232" s="7"/>
      <c r="M232" s="7"/>
      <c r="N232" s="7"/>
      <c r="O232" s="9"/>
      <c r="P232" s="6"/>
      <c r="Q232" s="6"/>
    </row>
    <row r="233" spans="1:17" ht="18">
      <c r="A233" s="6"/>
      <c r="B233" s="6"/>
      <c r="C233" s="6"/>
      <c r="D233" s="6"/>
      <c r="E233" s="6"/>
      <c r="F233" s="7"/>
      <c r="G233" s="6"/>
      <c r="H233" s="8"/>
      <c r="I233" s="6"/>
      <c r="J233" s="7"/>
      <c r="K233" s="7"/>
      <c r="L233" s="7"/>
      <c r="M233" s="7"/>
      <c r="N233" s="7"/>
      <c r="O233" s="9"/>
      <c r="P233" s="6"/>
      <c r="Q233" s="6"/>
    </row>
    <row r="234" spans="1:17" ht="18">
      <c r="A234" s="6"/>
      <c r="B234" s="6"/>
      <c r="C234" s="6"/>
      <c r="D234" s="6"/>
      <c r="E234" s="6"/>
      <c r="F234" s="7"/>
      <c r="G234" s="6"/>
      <c r="H234" s="8"/>
      <c r="I234" s="8"/>
      <c r="J234" s="7"/>
      <c r="K234" s="7"/>
      <c r="L234" s="7"/>
      <c r="M234" s="7"/>
      <c r="N234" s="7"/>
      <c r="O234" s="9"/>
      <c r="P234" s="6"/>
      <c r="Q234" s="10"/>
    </row>
    <row r="235" spans="1:17" ht="18">
      <c r="A235" s="6"/>
      <c r="B235" s="6"/>
      <c r="C235" s="6"/>
      <c r="D235" s="6"/>
      <c r="E235" s="6"/>
      <c r="F235" s="7"/>
      <c r="G235" s="8"/>
      <c r="H235" s="6"/>
      <c r="I235" s="6"/>
      <c r="J235" s="7"/>
      <c r="K235" s="7"/>
      <c r="L235" s="7"/>
      <c r="M235" s="7"/>
      <c r="N235" s="7"/>
      <c r="O235" s="9"/>
      <c r="P235" s="6"/>
      <c r="Q235" s="10"/>
    </row>
    <row r="236" spans="1:17" ht="18">
      <c r="A236" s="6"/>
      <c r="B236" s="6"/>
      <c r="C236" s="6"/>
      <c r="D236" s="6"/>
      <c r="E236" s="6"/>
      <c r="F236" s="7"/>
      <c r="G236" s="8"/>
      <c r="H236" s="8"/>
      <c r="I236" s="6"/>
      <c r="J236" s="7"/>
      <c r="K236" s="7"/>
      <c r="L236" s="7"/>
      <c r="M236" s="7"/>
      <c r="N236" s="7"/>
      <c r="O236" s="9"/>
      <c r="P236" s="6"/>
      <c r="Q236" s="10"/>
    </row>
    <row r="237" spans="1:17" ht="18">
      <c r="A237" s="6"/>
      <c r="B237" s="6"/>
      <c r="C237" s="6"/>
      <c r="D237" s="6"/>
      <c r="E237" s="6"/>
      <c r="F237" s="7"/>
      <c r="G237" s="8"/>
      <c r="H237" s="8"/>
      <c r="I237" s="6"/>
      <c r="J237" s="7"/>
      <c r="K237" s="7"/>
      <c r="L237" s="7"/>
      <c r="M237" s="7"/>
      <c r="N237" s="7"/>
      <c r="O237" s="9"/>
      <c r="P237" s="6"/>
      <c r="Q237" s="10"/>
    </row>
    <row r="238" spans="1:17" ht="18">
      <c r="A238" s="6"/>
      <c r="B238" s="6"/>
      <c r="C238" s="6"/>
      <c r="D238" s="6"/>
      <c r="E238" s="6"/>
      <c r="F238" s="7"/>
      <c r="G238" s="8"/>
      <c r="H238" s="8"/>
      <c r="I238" s="8"/>
      <c r="J238" s="7"/>
      <c r="K238" s="7"/>
      <c r="L238" s="7"/>
      <c r="M238" s="7"/>
      <c r="N238" s="7"/>
      <c r="O238" s="9"/>
      <c r="P238" s="6"/>
      <c r="Q238" s="6"/>
    </row>
    <row r="239" spans="1:17" ht="18">
      <c r="A239" s="6"/>
      <c r="B239" s="6"/>
      <c r="C239" s="6"/>
      <c r="D239" s="6"/>
      <c r="E239" s="6"/>
      <c r="F239" s="7"/>
      <c r="G239" s="8"/>
      <c r="H239" s="8"/>
      <c r="I239" s="6"/>
      <c r="J239" s="7"/>
      <c r="K239" s="7"/>
      <c r="L239" s="7"/>
      <c r="M239" s="7"/>
      <c r="N239" s="7"/>
      <c r="O239" s="9"/>
      <c r="P239" s="6"/>
      <c r="Q239" s="10"/>
    </row>
    <row r="240" spans="1:17" ht="18">
      <c r="A240" s="6"/>
      <c r="B240" s="6"/>
      <c r="C240" s="6"/>
      <c r="D240" s="6"/>
      <c r="E240" s="6"/>
      <c r="F240" s="7"/>
      <c r="G240" s="8"/>
      <c r="H240" s="8"/>
      <c r="I240" s="8"/>
      <c r="J240" s="7"/>
      <c r="K240" s="7"/>
      <c r="L240" s="7"/>
      <c r="M240" s="7"/>
      <c r="N240" s="7"/>
      <c r="O240" s="9"/>
      <c r="P240" s="6"/>
      <c r="Q240" s="6"/>
    </row>
    <row r="241" spans="1:17" ht="18">
      <c r="A241" s="6"/>
      <c r="B241" s="6"/>
      <c r="C241" s="6"/>
      <c r="D241" s="6"/>
      <c r="E241" s="6"/>
      <c r="F241" s="7"/>
      <c r="G241" s="8"/>
      <c r="H241" s="6"/>
      <c r="I241" s="6"/>
      <c r="J241" s="7"/>
      <c r="K241" s="7"/>
      <c r="L241" s="7"/>
      <c r="M241" s="7"/>
      <c r="N241" s="7"/>
      <c r="O241" s="9"/>
      <c r="P241" s="6"/>
      <c r="Q241" s="6"/>
    </row>
    <row r="242" spans="1:17" ht="18">
      <c r="A242" s="6"/>
      <c r="B242" s="6"/>
      <c r="C242" s="6"/>
      <c r="D242" s="6"/>
      <c r="E242" s="6"/>
      <c r="F242" s="7"/>
      <c r="G242" s="8"/>
      <c r="H242" s="6"/>
      <c r="I242" s="6"/>
      <c r="J242" s="7"/>
      <c r="K242" s="7"/>
      <c r="L242" s="7"/>
      <c r="M242" s="7"/>
      <c r="N242" s="7"/>
      <c r="O242" s="9"/>
      <c r="P242" s="6"/>
      <c r="Q242" s="6"/>
    </row>
    <row r="243" spans="1:17" ht="18">
      <c r="A243" s="6"/>
      <c r="B243" s="6"/>
      <c r="C243" s="6"/>
      <c r="D243" s="6"/>
      <c r="E243" s="6"/>
      <c r="F243" s="7"/>
      <c r="G243" s="8"/>
      <c r="H243" s="8"/>
      <c r="I243" s="8"/>
      <c r="J243" s="7"/>
      <c r="K243" s="7"/>
      <c r="L243" s="7"/>
      <c r="M243" s="7"/>
      <c r="N243" s="7"/>
      <c r="O243" s="9"/>
      <c r="P243" s="6"/>
      <c r="Q243" s="6"/>
    </row>
    <row r="244" spans="1:17" ht="18">
      <c r="A244" s="6"/>
      <c r="B244" s="6"/>
      <c r="C244" s="6"/>
      <c r="D244" s="6"/>
      <c r="E244" s="6"/>
      <c r="F244" s="7"/>
      <c r="G244" s="6"/>
      <c r="H244" s="8"/>
      <c r="I244" s="6"/>
      <c r="J244" s="7"/>
      <c r="K244" s="7"/>
      <c r="L244" s="7"/>
      <c r="M244" s="7"/>
      <c r="N244" s="7"/>
      <c r="O244" s="9"/>
      <c r="P244" s="6"/>
      <c r="Q244" s="6"/>
    </row>
    <row r="245" spans="1:17" ht="18">
      <c r="A245" s="6"/>
      <c r="B245" s="6"/>
      <c r="C245" s="6"/>
      <c r="D245" s="6"/>
      <c r="E245" s="6"/>
      <c r="F245" s="7"/>
      <c r="G245" s="6"/>
      <c r="H245" s="8"/>
      <c r="I245" s="8"/>
      <c r="J245" s="7"/>
      <c r="K245" s="7"/>
      <c r="L245" s="7"/>
      <c r="M245" s="7"/>
      <c r="N245" s="7"/>
      <c r="O245" s="9"/>
      <c r="P245" s="6"/>
      <c r="Q245" s="6"/>
    </row>
    <row r="246" spans="1:17" ht="18">
      <c r="A246" s="6"/>
      <c r="B246" s="6"/>
      <c r="C246" s="6"/>
      <c r="D246" s="6"/>
      <c r="E246" s="6"/>
      <c r="F246" s="7"/>
      <c r="G246" s="8"/>
      <c r="H246" s="6"/>
      <c r="I246" s="6"/>
      <c r="J246" s="7"/>
      <c r="K246" s="7"/>
      <c r="L246" s="7"/>
      <c r="M246" s="7"/>
      <c r="N246" s="7"/>
      <c r="O246" s="9"/>
      <c r="P246" s="6"/>
      <c r="Q246" s="10"/>
    </row>
    <row r="247" spans="1:17" ht="18">
      <c r="A247" s="6"/>
      <c r="B247" s="6"/>
      <c r="C247" s="6"/>
      <c r="D247" s="6"/>
      <c r="E247" s="6"/>
      <c r="F247" s="7"/>
      <c r="G247" s="8"/>
      <c r="H247" s="6"/>
      <c r="I247" s="6"/>
      <c r="J247" s="7"/>
      <c r="K247" s="7"/>
      <c r="L247" s="7"/>
      <c r="M247" s="7"/>
      <c r="N247" s="7"/>
      <c r="O247" s="9"/>
      <c r="P247" s="6"/>
      <c r="Q247" s="10"/>
    </row>
    <row r="248" spans="1:17" ht="18">
      <c r="A248" s="6"/>
      <c r="B248" s="6"/>
      <c r="C248" s="6"/>
      <c r="D248" s="6"/>
      <c r="E248" s="6"/>
      <c r="F248" s="7"/>
      <c r="G248" s="8"/>
      <c r="H248" s="6"/>
      <c r="I248" s="6"/>
      <c r="J248" s="7"/>
      <c r="K248" s="7"/>
      <c r="L248" s="7"/>
      <c r="M248" s="7"/>
      <c r="N248" s="7"/>
      <c r="O248" s="9"/>
      <c r="P248" s="6"/>
      <c r="Q248" s="10"/>
    </row>
    <row r="249" spans="1:17" ht="18">
      <c r="A249" s="6"/>
      <c r="B249" s="6"/>
      <c r="C249" s="6"/>
      <c r="D249" s="6"/>
      <c r="E249" s="6"/>
      <c r="F249" s="7"/>
      <c r="G249" s="6"/>
      <c r="H249" s="8"/>
      <c r="I249" s="8"/>
      <c r="J249" s="7"/>
      <c r="K249" s="7"/>
      <c r="L249" s="7"/>
      <c r="M249" s="7"/>
      <c r="N249" s="7"/>
      <c r="O249" s="9"/>
      <c r="P249" s="6"/>
      <c r="Q249" s="10"/>
    </row>
    <row r="250" spans="1:17" ht="18">
      <c r="A250" s="6"/>
      <c r="B250" s="6"/>
      <c r="C250" s="6"/>
      <c r="D250" s="6"/>
      <c r="E250" s="6"/>
      <c r="F250" s="7"/>
      <c r="G250" s="8"/>
      <c r="H250" s="6"/>
      <c r="I250" s="6"/>
      <c r="J250" s="7"/>
      <c r="K250" s="7"/>
      <c r="L250" s="7"/>
      <c r="M250" s="7"/>
      <c r="N250" s="7"/>
      <c r="O250" s="9"/>
      <c r="P250" s="6"/>
      <c r="Q250" s="6"/>
    </row>
    <row r="251" spans="1:17" ht="18">
      <c r="A251" s="6"/>
      <c r="B251" s="6"/>
      <c r="C251" s="6"/>
      <c r="D251" s="6"/>
      <c r="E251" s="6"/>
      <c r="F251" s="7"/>
      <c r="G251" s="6"/>
      <c r="H251" s="8"/>
      <c r="I251" s="8"/>
      <c r="J251" s="7"/>
      <c r="K251" s="7"/>
      <c r="L251" s="7"/>
      <c r="M251" s="7"/>
      <c r="N251" s="7"/>
      <c r="O251" s="9"/>
      <c r="P251" s="6"/>
      <c r="Q251" s="6"/>
    </row>
    <row r="252" spans="1:17" ht="18">
      <c r="A252" s="6"/>
      <c r="B252" s="6"/>
      <c r="C252" s="6"/>
      <c r="D252" s="6"/>
      <c r="E252" s="6"/>
      <c r="F252" s="7"/>
      <c r="G252" s="8"/>
      <c r="H252" s="6"/>
      <c r="I252" s="6"/>
      <c r="J252" s="7"/>
      <c r="K252" s="7"/>
      <c r="L252" s="7"/>
      <c r="M252" s="7"/>
      <c r="N252" s="7"/>
      <c r="O252" s="9"/>
      <c r="P252" s="6"/>
      <c r="Q252" s="10"/>
    </row>
    <row r="253" spans="1:17" ht="18">
      <c r="A253" s="6"/>
      <c r="B253" s="6"/>
      <c r="C253" s="6"/>
      <c r="D253" s="6"/>
      <c r="E253" s="6"/>
      <c r="F253" s="7"/>
      <c r="G253" s="6"/>
      <c r="H253" s="8"/>
      <c r="I253" s="8"/>
      <c r="J253" s="7"/>
      <c r="K253" s="7"/>
      <c r="L253" s="7"/>
      <c r="M253" s="7"/>
      <c r="N253" s="7"/>
      <c r="O253" s="9"/>
      <c r="P253" s="6"/>
      <c r="Q253" s="10"/>
    </row>
    <row r="254" spans="1:17" ht="18">
      <c r="A254" s="6"/>
      <c r="B254" s="6"/>
      <c r="C254" s="6"/>
      <c r="D254" s="6"/>
      <c r="E254" s="6"/>
      <c r="F254" s="7"/>
      <c r="G254" s="6"/>
      <c r="H254" s="8"/>
      <c r="I254" s="8"/>
      <c r="J254" s="7"/>
      <c r="K254" s="7"/>
      <c r="L254" s="7"/>
      <c r="M254" s="7"/>
      <c r="N254" s="7"/>
      <c r="O254" s="9"/>
      <c r="P254" s="6"/>
      <c r="Q254" s="10"/>
    </row>
    <row r="255" spans="1:17" ht="18">
      <c r="A255" s="6"/>
      <c r="B255" s="6"/>
      <c r="C255" s="6"/>
      <c r="D255" s="6"/>
      <c r="E255" s="6"/>
      <c r="F255" s="7"/>
      <c r="G255" s="6"/>
      <c r="H255" s="8"/>
      <c r="I255" s="8"/>
      <c r="J255" s="7"/>
      <c r="K255" s="7"/>
      <c r="L255" s="7"/>
      <c r="M255" s="7"/>
      <c r="N255" s="7"/>
      <c r="O255" s="9"/>
      <c r="P255" s="6"/>
      <c r="Q255" s="10"/>
    </row>
    <row r="256" spans="1:17" ht="18">
      <c r="A256" s="6"/>
      <c r="B256" s="6"/>
      <c r="C256" s="6"/>
      <c r="D256" s="6"/>
      <c r="E256" s="6"/>
      <c r="F256" s="7"/>
      <c r="G256" s="6"/>
      <c r="H256" s="8"/>
      <c r="I256" s="8"/>
      <c r="J256" s="7"/>
      <c r="K256" s="7"/>
      <c r="L256" s="7"/>
      <c r="M256" s="7"/>
      <c r="N256" s="7"/>
      <c r="O256" s="9"/>
      <c r="P256" s="6"/>
      <c r="Q256" s="10"/>
    </row>
    <row r="257" spans="1:17" ht="18">
      <c r="A257" s="6"/>
      <c r="B257" s="6"/>
      <c r="C257" s="6"/>
      <c r="D257" s="6"/>
      <c r="E257" s="6"/>
      <c r="F257" s="7"/>
      <c r="G257" s="6"/>
      <c r="H257" s="8"/>
      <c r="I257" s="8"/>
      <c r="J257" s="7"/>
      <c r="K257" s="7"/>
      <c r="L257" s="7"/>
      <c r="M257" s="7"/>
      <c r="N257" s="7"/>
      <c r="O257" s="9"/>
      <c r="P257" s="6"/>
      <c r="Q257" s="10"/>
    </row>
    <row r="258" spans="1:17" ht="18">
      <c r="A258" s="6"/>
      <c r="B258" s="6"/>
      <c r="C258" s="6"/>
      <c r="D258" s="6"/>
      <c r="E258" s="6"/>
      <c r="F258" s="7"/>
      <c r="G258" s="6"/>
      <c r="H258" s="8"/>
      <c r="I258" s="8"/>
      <c r="J258" s="7"/>
      <c r="K258" s="7"/>
      <c r="L258" s="7"/>
      <c r="M258" s="7"/>
      <c r="N258" s="7"/>
      <c r="O258" s="9"/>
      <c r="P258" s="6"/>
      <c r="Q258" s="10"/>
    </row>
    <row r="259" spans="1:17" ht="18">
      <c r="A259" s="6"/>
      <c r="B259" s="6"/>
      <c r="C259" s="6"/>
      <c r="D259" s="6"/>
      <c r="E259" s="6"/>
      <c r="F259" s="7"/>
      <c r="G259" s="6"/>
      <c r="H259" s="8"/>
      <c r="I259" s="6"/>
      <c r="J259" s="7"/>
      <c r="K259" s="7"/>
      <c r="L259" s="7"/>
      <c r="M259" s="7"/>
      <c r="N259" s="7"/>
      <c r="O259" s="9"/>
      <c r="P259" s="6"/>
      <c r="Q259" s="6"/>
    </row>
    <row r="260" spans="1:17" ht="18">
      <c r="A260" s="6"/>
      <c r="B260" s="6"/>
      <c r="C260" s="6"/>
      <c r="D260" s="6"/>
      <c r="E260" s="6"/>
      <c r="F260" s="7"/>
      <c r="G260" s="8"/>
      <c r="H260" s="6"/>
      <c r="I260" s="6"/>
      <c r="J260" s="7"/>
      <c r="K260" s="7"/>
      <c r="L260" s="7"/>
      <c r="M260" s="7"/>
      <c r="N260" s="7"/>
      <c r="O260" s="9"/>
      <c r="P260" s="6"/>
      <c r="Q260" s="6"/>
    </row>
    <row r="261" spans="1:17" ht="18">
      <c r="A261" s="6"/>
      <c r="B261" s="6"/>
      <c r="C261" s="6"/>
      <c r="D261" s="6"/>
      <c r="E261" s="6"/>
      <c r="F261" s="7"/>
      <c r="G261" s="8"/>
      <c r="H261" s="6"/>
      <c r="I261" s="6"/>
      <c r="J261" s="7"/>
      <c r="K261" s="7"/>
      <c r="L261" s="7"/>
      <c r="M261" s="7"/>
      <c r="N261" s="7"/>
      <c r="O261" s="9"/>
      <c r="P261" s="6"/>
      <c r="Q261" s="10"/>
    </row>
    <row r="262" spans="1:17" ht="18">
      <c r="A262" s="6"/>
      <c r="B262" s="6"/>
      <c r="C262" s="6"/>
      <c r="D262" s="6"/>
      <c r="E262" s="6"/>
      <c r="F262" s="7"/>
      <c r="G262" s="8"/>
      <c r="H262" s="6"/>
      <c r="I262" s="6"/>
      <c r="J262" s="7"/>
      <c r="K262" s="7"/>
      <c r="L262" s="7"/>
      <c r="M262" s="7"/>
      <c r="N262" s="7"/>
      <c r="O262" s="9"/>
      <c r="P262" s="6"/>
      <c r="Q262" s="10"/>
    </row>
    <row r="263" spans="1:17" ht="18">
      <c r="A263" s="6"/>
      <c r="B263" s="6"/>
      <c r="C263" s="6"/>
      <c r="D263" s="6"/>
      <c r="E263" s="6"/>
      <c r="F263" s="7"/>
      <c r="G263" s="8"/>
      <c r="H263" s="6"/>
      <c r="I263" s="6"/>
      <c r="J263" s="7"/>
      <c r="K263" s="7"/>
      <c r="L263" s="7"/>
      <c r="M263" s="7"/>
      <c r="N263" s="7"/>
      <c r="O263" s="9"/>
      <c r="P263" s="6"/>
      <c r="Q263" s="10"/>
    </row>
    <row r="264" spans="1:17" ht="18">
      <c r="A264" s="6"/>
      <c r="B264" s="6"/>
      <c r="C264" s="6"/>
      <c r="D264" s="6"/>
      <c r="E264" s="6"/>
      <c r="F264" s="7"/>
      <c r="G264" s="8"/>
      <c r="H264" s="6"/>
      <c r="I264" s="6"/>
      <c r="J264" s="7"/>
      <c r="K264" s="7"/>
      <c r="L264" s="7"/>
      <c r="M264" s="7"/>
      <c r="N264" s="7"/>
      <c r="O264" s="9"/>
      <c r="P264" s="6"/>
      <c r="Q264" s="6"/>
    </row>
    <row r="265" spans="1:17" ht="18">
      <c r="A265" s="6"/>
      <c r="B265" s="6"/>
      <c r="C265" s="6"/>
      <c r="D265" s="6"/>
      <c r="E265" s="6"/>
      <c r="F265" s="7"/>
      <c r="G265" s="6"/>
      <c r="H265" s="8"/>
      <c r="I265" s="8"/>
      <c r="J265" s="7"/>
      <c r="K265" s="7"/>
      <c r="L265" s="7"/>
      <c r="M265" s="7"/>
      <c r="N265" s="7"/>
      <c r="O265" s="9"/>
      <c r="P265" s="6"/>
      <c r="Q265" s="6"/>
    </row>
    <row r="266" spans="1:17" ht="18">
      <c r="A266" s="6"/>
      <c r="B266" s="6"/>
      <c r="C266" s="6"/>
      <c r="D266" s="6"/>
      <c r="E266" s="6"/>
      <c r="F266" s="7"/>
      <c r="G266" s="8"/>
      <c r="H266" s="6"/>
      <c r="I266" s="6"/>
      <c r="J266" s="7"/>
      <c r="K266" s="7"/>
      <c r="L266" s="7"/>
      <c r="M266" s="7"/>
      <c r="N266" s="7"/>
      <c r="O266" s="9"/>
      <c r="P266" s="6"/>
      <c r="Q266" s="6"/>
    </row>
    <row r="267" spans="1:17" ht="18">
      <c r="A267" s="6"/>
      <c r="B267" s="6"/>
      <c r="C267" s="6"/>
      <c r="D267" s="6"/>
      <c r="E267" s="6"/>
      <c r="F267" s="7"/>
      <c r="G267" s="8"/>
      <c r="H267" s="6"/>
      <c r="I267" s="6"/>
      <c r="J267" s="7"/>
      <c r="K267" s="7"/>
      <c r="L267" s="7"/>
      <c r="M267" s="7"/>
      <c r="N267" s="7"/>
      <c r="O267" s="9"/>
      <c r="P267" s="6"/>
      <c r="Q267" s="6"/>
    </row>
    <row r="268" spans="1:17" ht="18">
      <c r="A268" s="6"/>
      <c r="B268" s="6"/>
      <c r="C268" s="6"/>
      <c r="D268" s="6"/>
      <c r="E268" s="6"/>
      <c r="F268" s="7"/>
      <c r="G268" s="8"/>
      <c r="H268" s="6"/>
      <c r="I268" s="6"/>
      <c r="J268" s="7"/>
      <c r="K268" s="7"/>
      <c r="L268" s="7"/>
      <c r="M268" s="7"/>
      <c r="N268" s="7"/>
      <c r="O268" s="9"/>
      <c r="P268" s="6"/>
      <c r="Q268" s="6"/>
    </row>
    <row r="269" spans="1:17" ht="18">
      <c r="A269" s="6"/>
      <c r="B269" s="6"/>
      <c r="C269" s="6"/>
      <c r="D269" s="6"/>
      <c r="E269" s="6"/>
      <c r="F269" s="7"/>
      <c r="G269" s="8"/>
      <c r="H269" s="8"/>
      <c r="I269" s="8"/>
      <c r="J269" s="7"/>
      <c r="K269" s="7"/>
      <c r="L269" s="7"/>
      <c r="M269" s="7"/>
      <c r="N269" s="7"/>
      <c r="O269" s="9"/>
      <c r="P269" s="6"/>
      <c r="Q269" s="10"/>
    </row>
    <row r="270" spans="1:17" ht="18">
      <c r="A270" s="6"/>
      <c r="B270" s="6"/>
      <c r="C270" s="6"/>
      <c r="D270" s="6"/>
      <c r="E270" s="6"/>
      <c r="F270" s="7"/>
      <c r="G270" s="8"/>
      <c r="H270" s="6"/>
      <c r="I270" s="6"/>
      <c r="J270" s="7"/>
      <c r="K270" s="7"/>
      <c r="L270" s="7"/>
      <c r="M270" s="7"/>
      <c r="N270" s="7"/>
      <c r="O270" s="9"/>
      <c r="P270" s="6"/>
      <c r="Q270" s="6"/>
    </row>
    <row r="271" spans="1:17" ht="18">
      <c r="A271" s="6"/>
      <c r="B271" s="6"/>
      <c r="C271" s="6"/>
      <c r="D271" s="6"/>
      <c r="E271" s="6"/>
      <c r="F271" s="7"/>
      <c r="G271" s="6"/>
      <c r="H271" s="8"/>
      <c r="I271" s="6"/>
      <c r="J271" s="7"/>
      <c r="K271" s="7"/>
      <c r="L271" s="7"/>
      <c r="M271" s="7"/>
      <c r="N271" s="7"/>
      <c r="O271" s="9"/>
      <c r="P271" s="6"/>
      <c r="Q271" s="6"/>
    </row>
    <row r="272" spans="1:17" ht="18">
      <c r="A272" s="6"/>
      <c r="B272" s="6"/>
      <c r="C272" s="6"/>
      <c r="D272" s="6"/>
      <c r="E272" s="6"/>
      <c r="F272" s="7"/>
      <c r="G272" s="6"/>
      <c r="H272" s="8"/>
      <c r="I272" s="6"/>
      <c r="J272" s="7"/>
      <c r="K272" s="7"/>
      <c r="L272" s="7"/>
      <c r="M272" s="7"/>
      <c r="N272" s="7"/>
      <c r="O272" s="9"/>
      <c r="P272" s="6"/>
      <c r="Q272" s="10"/>
    </row>
    <row r="273" spans="1:17" ht="18">
      <c r="A273" s="6"/>
      <c r="B273" s="6"/>
      <c r="C273" s="6"/>
      <c r="D273" s="6"/>
      <c r="E273" s="6"/>
      <c r="F273" s="7"/>
      <c r="G273" s="6"/>
      <c r="H273" s="8"/>
      <c r="I273" s="8"/>
      <c r="J273" s="7"/>
      <c r="K273" s="7"/>
      <c r="L273" s="7"/>
      <c r="M273" s="7"/>
      <c r="N273" s="7"/>
      <c r="O273" s="9"/>
      <c r="P273" s="6"/>
      <c r="Q273" s="10"/>
    </row>
    <row r="274" spans="1:17" ht="18">
      <c r="A274" s="6"/>
      <c r="B274" s="6"/>
      <c r="C274" s="6"/>
      <c r="D274" s="6"/>
      <c r="E274" s="6"/>
      <c r="F274" s="7"/>
      <c r="G274" s="6"/>
      <c r="H274" s="8"/>
      <c r="I274" s="8"/>
      <c r="J274" s="7"/>
      <c r="K274" s="7"/>
      <c r="L274" s="7"/>
      <c r="M274" s="7"/>
      <c r="N274" s="7"/>
      <c r="O274" s="9"/>
      <c r="P274" s="6"/>
      <c r="Q274" s="6"/>
    </row>
    <row r="275" spans="1:17" ht="18">
      <c r="A275" s="6"/>
      <c r="B275" s="6"/>
      <c r="C275" s="6"/>
      <c r="D275" s="6"/>
      <c r="E275" s="6"/>
      <c r="F275" s="7"/>
      <c r="G275" s="6"/>
      <c r="H275" s="8"/>
      <c r="I275" s="6"/>
      <c r="J275" s="7"/>
      <c r="K275" s="7"/>
      <c r="L275" s="7"/>
      <c r="M275" s="7"/>
      <c r="N275" s="7"/>
      <c r="O275" s="9"/>
      <c r="P275" s="6"/>
      <c r="Q275" s="6"/>
    </row>
    <row r="276" spans="1:17" ht="18">
      <c r="A276" s="6"/>
      <c r="B276" s="6"/>
      <c r="C276" s="6"/>
      <c r="D276" s="6"/>
      <c r="E276" s="6"/>
      <c r="F276" s="7"/>
      <c r="G276" s="8"/>
      <c r="H276" s="6"/>
      <c r="I276" s="6"/>
      <c r="J276" s="7"/>
      <c r="K276" s="7"/>
      <c r="L276" s="7"/>
      <c r="M276" s="7"/>
      <c r="N276" s="7"/>
      <c r="O276" s="9"/>
      <c r="P276" s="6"/>
      <c r="Q276" s="6"/>
    </row>
    <row r="277" spans="1:17" ht="18">
      <c r="A277" s="6"/>
      <c r="B277" s="6"/>
      <c r="C277" s="6"/>
      <c r="D277" s="6"/>
      <c r="E277" s="6"/>
      <c r="F277" s="7"/>
      <c r="G277" s="6"/>
      <c r="H277" s="8"/>
      <c r="I277" s="6"/>
      <c r="J277" s="7"/>
      <c r="K277" s="7"/>
      <c r="L277" s="7"/>
      <c r="M277" s="7"/>
      <c r="N277" s="7"/>
      <c r="O277" s="9"/>
      <c r="P277" s="6"/>
      <c r="Q277" s="10"/>
    </row>
    <row r="278" spans="1:17" ht="18">
      <c r="A278" s="6"/>
      <c r="B278" s="6"/>
      <c r="C278" s="6"/>
      <c r="D278" s="6"/>
      <c r="E278" s="6"/>
      <c r="F278" s="7"/>
      <c r="G278" s="6"/>
      <c r="H278" s="8"/>
      <c r="I278" s="6"/>
      <c r="J278" s="7"/>
      <c r="K278" s="7"/>
      <c r="L278" s="7"/>
      <c r="M278" s="7"/>
      <c r="N278" s="7"/>
      <c r="O278" s="9"/>
      <c r="P278" s="6"/>
      <c r="Q278" s="10"/>
    </row>
    <row r="279" spans="1:17" ht="18">
      <c r="A279" s="6"/>
      <c r="B279" s="6"/>
      <c r="C279" s="6"/>
      <c r="D279" s="6"/>
      <c r="E279" s="6"/>
      <c r="F279" s="7"/>
      <c r="G279" s="6"/>
      <c r="H279" s="8"/>
      <c r="I279" s="6"/>
      <c r="J279" s="7"/>
      <c r="K279" s="7"/>
      <c r="L279" s="7"/>
      <c r="M279" s="7"/>
      <c r="N279" s="7"/>
      <c r="O279" s="9"/>
      <c r="P279" s="6"/>
      <c r="Q279" s="6"/>
    </row>
    <row r="280" spans="1:17" ht="18">
      <c r="A280" s="6"/>
      <c r="B280" s="6"/>
      <c r="C280" s="6"/>
      <c r="D280" s="6"/>
      <c r="E280" s="6"/>
      <c r="F280" s="7"/>
      <c r="G280" s="6"/>
      <c r="H280" s="8"/>
      <c r="I280" s="6"/>
      <c r="J280" s="7"/>
      <c r="K280" s="7"/>
      <c r="L280" s="7"/>
      <c r="M280" s="7"/>
      <c r="N280" s="7"/>
      <c r="O280" s="9"/>
      <c r="P280" s="6"/>
      <c r="Q280" s="6"/>
    </row>
    <row r="281" spans="1:17" ht="18">
      <c r="A281" s="6"/>
      <c r="B281" s="6"/>
      <c r="C281" s="6"/>
      <c r="D281" s="6"/>
      <c r="E281" s="6"/>
      <c r="F281" s="7"/>
      <c r="G281" s="8"/>
      <c r="H281" s="6"/>
      <c r="I281" s="6"/>
      <c r="J281" s="7"/>
      <c r="K281" s="7"/>
      <c r="L281" s="7"/>
      <c r="M281" s="7"/>
      <c r="N281" s="7"/>
      <c r="O281" s="9"/>
      <c r="P281" s="6"/>
      <c r="Q281" s="6"/>
    </row>
    <row r="282" spans="1:17" ht="18">
      <c r="A282" s="6"/>
      <c r="B282" s="6"/>
      <c r="C282" s="6"/>
      <c r="D282" s="6"/>
      <c r="E282" s="6"/>
      <c r="F282" s="7"/>
      <c r="G282" s="8"/>
      <c r="H282" s="6"/>
      <c r="I282" s="6"/>
      <c r="J282" s="7"/>
      <c r="K282" s="7"/>
      <c r="L282" s="7"/>
      <c r="M282" s="7"/>
      <c r="N282" s="7"/>
      <c r="O282" s="9"/>
      <c r="P282" s="6"/>
      <c r="Q282" s="10"/>
    </row>
    <row r="283" spans="1:17" ht="18">
      <c r="A283" s="6"/>
      <c r="B283" s="6"/>
      <c r="C283" s="6"/>
      <c r="D283" s="6"/>
      <c r="E283" s="6"/>
      <c r="F283" s="7"/>
      <c r="G283" s="8"/>
      <c r="H283" s="6"/>
      <c r="I283" s="6"/>
      <c r="J283" s="7"/>
      <c r="K283" s="7"/>
      <c r="L283" s="7"/>
      <c r="M283" s="7"/>
      <c r="N283" s="7"/>
      <c r="O283" s="9"/>
      <c r="P283" s="6"/>
      <c r="Q283" s="10"/>
    </row>
    <row r="284" spans="1:17" ht="18">
      <c r="A284" s="6"/>
      <c r="B284" s="6"/>
      <c r="C284" s="6"/>
      <c r="D284" s="6"/>
      <c r="E284" s="6"/>
      <c r="F284" s="7"/>
      <c r="G284" s="6"/>
      <c r="H284" s="8"/>
      <c r="I284" s="6"/>
      <c r="J284" s="7"/>
      <c r="K284" s="7"/>
      <c r="L284" s="7"/>
      <c r="M284" s="7"/>
      <c r="N284" s="7"/>
      <c r="O284" s="9"/>
      <c r="P284" s="6"/>
      <c r="Q284" s="10"/>
    </row>
    <row r="285" spans="1:17" ht="18">
      <c r="A285" s="6"/>
      <c r="B285" s="6"/>
      <c r="C285" s="6"/>
      <c r="D285" s="6"/>
      <c r="E285" s="6"/>
      <c r="F285" s="7"/>
      <c r="G285" s="6"/>
      <c r="H285" s="8"/>
      <c r="I285" s="6"/>
      <c r="J285" s="7"/>
      <c r="K285" s="7"/>
      <c r="L285" s="7"/>
      <c r="M285" s="7"/>
      <c r="N285" s="7"/>
      <c r="O285" s="9"/>
      <c r="P285" s="6"/>
      <c r="Q285" s="10"/>
    </row>
    <row r="286" spans="1:17" ht="18">
      <c r="A286" s="6"/>
      <c r="B286" s="6"/>
      <c r="C286" s="6"/>
      <c r="D286" s="6"/>
      <c r="E286" s="6"/>
      <c r="F286" s="7"/>
      <c r="G286" s="6"/>
      <c r="H286" s="8"/>
      <c r="I286" s="6"/>
      <c r="J286" s="7"/>
      <c r="K286" s="7"/>
      <c r="L286" s="7"/>
      <c r="M286" s="7"/>
      <c r="N286" s="7"/>
      <c r="O286" s="9"/>
      <c r="P286" s="6"/>
      <c r="Q286" s="10"/>
    </row>
    <row r="287" spans="1:17" ht="18">
      <c r="A287" s="6"/>
      <c r="B287" s="6"/>
      <c r="C287" s="6"/>
      <c r="D287" s="6"/>
      <c r="E287" s="6"/>
      <c r="F287" s="7"/>
      <c r="G287" s="6"/>
      <c r="H287" s="8"/>
      <c r="I287" s="6"/>
      <c r="J287" s="7"/>
      <c r="K287" s="7"/>
      <c r="L287" s="7"/>
      <c r="M287" s="7"/>
      <c r="N287" s="7"/>
      <c r="O287" s="9"/>
      <c r="P287" s="6"/>
      <c r="Q287" s="10"/>
    </row>
    <row r="288" spans="1:17" ht="18">
      <c r="A288" s="6"/>
      <c r="B288" s="6"/>
      <c r="C288" s="6"/>
      <c r="D288" s="6"/>
      <c r="E288" s="6"/>
      <c r="F288" s="7"/>
      <c r="G288" s="6"/>
      <c r="H288" s="8"/>
      <c r="I288" s="6"/>
      <c r="J288" s="7"/>
      <c r="K288" s="7"/>
      <c r="L288" s="7"/>
      <c r="M288" s="7"/>
      <c r="N288" s="7"/>
      <c r="O288" s="9"/>
      <c r="P288" s="6"/>
      <c r="Q288" s="10"/>
    </row>
    <row r="289" spans="1:17" ht="18">
      <c r="A289" s="6"/>
      <c r="B289" s="8"/>
      <c r="C289" s="6"/>
      <c r="D289" s="6"/>
      <c r="E289" s="6"/>
      <c r="F289" s="7"/>
      <c r="G289" s="8"/>
      <c r="H289" s="6"/>
      <c r="I289" s="6"/>
      <c r="J289" s="7"/>
      <c r="K289" s="7"/>
      <c r="L289" s="7"/>
      <c r="M289" s="7"/>
      <c r="N289" s="7"/>
      <c r="O289" s="9"/>
      <c r="P289" s="6"/>
      <c r="Q289" s="6"/>
    </row>
    <row r="290" spans="1:17" ht="18">
      <c r="A290" s="6"/>
      <c r="B290" s="8"/>
      <c r="C290" s="6"/>
      <c r="D290" s="6"/>
      <c r="E290" s="6"/>
      <c r="F290" s="7"/>
      <c r="G290" s="8"/>
      <c r="H290" s="6"/>
      <c r="I290" s="6"/>
      <c r="J290" s="7"/>
      <c r="K290" s="7"/>
      <c r="L290" s="7"/>
      <c r="M290" s="7"/>
      <c r="N290" s="7"/>
      <c r="O290" s="9"/>
      <c r="P290" s="6"/>
      <c r="Q290" s="6"/>
    </row>
    <row r="291" spans="1:17" ht="18">
      <c r="A291" s="6"/>
      <c r="B291" s="8"/>
      <c r="C291" s="6"/>
      <c r="D291" s="6"/>
      <c r="E291" s="6"/>
      <c r="F291" s="7"/>
      <c r="G291" s="8"/>
      <c r="H291" s="6"/>
      <c r="I291" s="6"/>
      <c r="J291" s="7"/>
      <c r="K291" s="7"/>
      <c r="L291" s="7"/>
      <c r="M291" s="7"/>
      <c r="N291" s="7"/>
      <c r="O291" s="9"/>
      <c r="P291" s="6"/>
      <c r="Q291" s="6"/>
    </row>
    <row r="292" spans="1:17" ht="18">
      <c r="A292" s="6"/>
      <c r="B292" s="6"/>
      <c r="C292" s="6"/>
      <c r="D292" s="6"/>
      <c r="E292" s="6"/>
      <c r="F292" s="7"/>
      <c r="G292" s="8"/>
      <c r="H292" s="8"/>
      <c r="I292" s="8"/>
      <c r="J292" s="7"/>
      <c r="K292" s="7"/>
      <c r="L292" s="7"/>
      <c r="M292" s="7"/>
      <c r="N292" s="7"/>
      <c r="O292" s="9"/>
      <c r="P292" s="6"/>
      <c r="Q292" s="6"/>
    </row>
    <row r="293" spans="1:17" ht="18">
      <c r="A293" s="6"/>
      <c r="B293" s="6"/>
      <c r="C293" s="6"/>
      <c r="D293" s="6"/>
      <c r="E293" s="6"/>
      <c r="F293" s="7"/>
      <c r="G293" s="8"/>
      <c r="H293" s="8"/>
      <c r="I293" s="8"/>
      <c r="J293" s="7"/>
      <c r="K293" s="7"/>
      <c r="L293" s="7"/>
      <c r="M293" s="7"/>
      <c r="N293" s="7"/>
      <c r="O293" s="9"/>
      <c r="P293" s="6"/>
      <c r="Q293" s="6"/>
    </row>
    <row r="294" spans="1:17" ht="18">
      <c r="A294" s="6"/>
      <c r="B294" s="6"/>
      <c r="C294" s="6"/>
      <c r="D294" s="6"/>
      <c r="E294" s="6"/>
      <c r="F294" s="7"/>
      <c r="G294" s="8"/>
      <c r="H294" s="8"/>
      <c r="I294" s="8"/>
      <c r="J294" s="7"/>
      <c r="K294" s="7"/>
      <c r="L294" s="7"/>
      <c r="M294" s="7"/>
      <c r="N294" s="7"/>
      <c r="O294" s="9"/>
      <c r="P294" s="6"/>
      <c r="Q294" s="6"/>
    </row>
    <row r="295" spans="1:17" ht="18">
      <c r="A295" s="6"/>
      <c r="B295" s="6"/>
      <c r="C295" s="6"/>
      <c r="D295" s="6"/>
      <c r="E295" s="6"/>
      <c r="F295" s="7"/>
      <c r="G295" s="8"/>
      <c r="H295" s="8"/>
      <c r="I295" s="8"/>
      <c r="J295" s="7"/>
      <c r="K295" s="7"/>
      <c r="L295" s="7"/>
      <c r="M295" s="7"/>
      <c r="N295" s="7"/>
      <c r="O295" s="9"/>
      <c r="P295" s="6"/>
      <c r="Q295" s="10"/>
    </row>
    <row r="296" spans="1:17" ht="18">
      <c r="A296" s="6"/>
      <c r="B296" s="6"/>
      <c r="C296" s="6"/>
      <c r="D296" s="6"/>
      <c r="E296" s="6"/>
      <c r="F296" s="7"/>
      <c r="G296" s="8"/>
      <c r="H296" s="8"/>
      <c r="I296" s="8"/>
      <c r="J296" s="7"/>
      <c r="K296" s="7"/>
      <c r="L296" s="7"/>
      <c r="M296" s="7"/>
      <c r="N296" s="7"/>
      <c r="O296" s="9"/>
      <c r="P296" s="6"/>
      <c r="Q296" s="10"/>
    </row>
    <row r="297" spans="1:17" ht="18">
      <c r="A297" s="6"/>
      <c r="B297" s="6"/>
      <c r="C297" s="6"/>
      <c r="D297" s="6"/>
      <c r="E297" s="6"/>
      <c r="F297" s="7"/>
      <c r="G297" s="8"/>
      <c r="H297" s="8"/>
      <c r="I297" s="8"/>
      <c r="J297" s="7"/>
      <c r="K297" s="7"/>
      <c r="L297" s="7"/>
      <c r="M297" s="7"/>
      <c r="N297" s="7"/>
      <c r="O297" s="9"/>
      <c r="P297" s="6"/>
      <c r="Q297" s="10"/>
    </row>
    <row r="298" spans="1:17" ht="18">
      <c r="A298" s="6"/>
      <c r="B298" s="6"/>
      <c r="C298" s="6"/>
      <c r="D298" s="6"/>
      <c r="E298" s="6"/>
      <c r="F298" s="7"/>
      <c r="G298" s="8"/>
      <c r="H298" s="8"/>
      <c r="I298" s="8"/>
      <c r="J298" s="7"/>
      <c r="K298" s="7"/>
      <c r="L298" s="7"/>
      <c r="M298" s="7"/>
      <c r="N298" s="7"/>
      <c r="O298" s="9"/>
      <c r="P298" s="6"/>
      <c r="Q298" s="10"/>
    </row>
    <row r="299" spans="1:17" ht="18">
      <c r="A299" s="6"/>
      <c r="B299" s="6"/>
      <c r="C299" s="6"/>
      <c r="D299" s="6"/>
      <c r="E299" s="6"/>
      <c r="F299" s="7"/>
      <c r="G299" s="8"/>
      <c r="H299" s="8"/>
      <c r="I299" s="8"/>
      <c r="J299" s="7"/>
      <c r="K299" s="7"/>
      <c r="L299" s="7"/>
      <c r="M299" s="7"/>
      <c r="N299" s="7"/>
      <c r="O299" s="9"/>
      <c r="P299" s="6"/>
      <c r="Q299" s="10"/>
    </row>
    <row r="300" spans="1:17" ht="18">
      <c r="A300" s="6"/>
      <c r="B300" s="6"/>
      <c r="C300" s="6"/>
      <c r="D300" s="6"/>
      <c r="E300" s="6"/>
      <c r="F300" s="7"/>
      <c r="G300" s="8"/>
      <c r="H300" s="8"/>
      <c r="I300" s="8"/>
      <c r="J300" s="7"/>
      <c r="K300" s="7"/>
      <c r="L300" s="7"/>
      <c r="M300" s="7"/>
      <c r="N300" s="7"/>
      <c r="O300" s="9"/>
      <c r="P300" s="6"/>
      <c r="Q300" s="6"/>
    </row>
    <row r="301" spans="1:17" ht="18">
      <c r="A301" s="6"/>
      <c r="B301" s="6"/>
      <c r="C301" s="6"/>
      <c r="D301" s="6"/>
      <c r="E301" s="6"/>
      <c r="F301" s="7"/>
      <c r="G301" s="8"/>
      <c r="H301" s="8"/>
      <c r="I301" s="8"/>
      <c r="J301" s="7"/>
      <c r="K301" s="7"/>
      <c r="L301" s="7"/>
      <c r="M301" s="7"/>
      <c r="N301" s="7"/>
      <c r="O301" s="9"/>
      <c r="P301" s="6"/>
      <c r="Q301" s="6"/>
    </row>
    <row r="302" spans="1:17" ht="18">
      <c r="A302" s="6"/>
      <c r="B302" s="6"/>
      <c r="C302" s="6"/>
      <c r="D302" s="6"/>
      <c r="E302" s="6"/>
      <c r="F302" s="7"/>
      <c r="G302" s="8"/>
      <c r="H302" s="8"/>
      <c r="I302" s="8"/>
      <c r="J302" s="7"/>
      <c r="K302" s="7"/>
      <c r="L302" s="7"/>
      <c r="M302" s="7"/>
      <c r="N302" s="7"/>
      <c r="O302" s="9"/>
      <c r="P302" s="6"/>
      <c r="Q302" s="6"/>
    </row>
    <row r="303" spans="1:17" ht="18">
      <c r="A303" s="6"/>
      <c r="B303" s="6"/>
      <c r="C303" s="6"/>
      <c r="D303" s="6"/>
      <c r="E303" s="6"/>
      <c r="F303" s="7"/>
      <c r="G303" s="8"/>
      <c r="H303" s="8"/>
      <c r="I303" s="8"/>
      <c r="J303" s="7"/>
      <c r="K303" s="7"/>
      <c r="L303" s="7"/>
      <c r="M303" s="7"/>
      <c r="N303" s="7"/>
      <c r="O303" s="9"/>
      <c r="P303" s="6"/>
      <c r="Q303" s="6"/>
    </row>
    <row r="304" spans="1:17" ht="18">
      <c r="A304" s="6"/>
      <c r="B304" s="6"/>
      <c r="C304" s="6"/>
      <c r="D304" s="6"/>
      <c r="E304" s="6"/>
      <c r="F304" s="7"/>
      <c r="G304" s="8"/>
      <c r="H304" s="8"/>
      <c r="I304" s="8"/>
      <c r="J304" s="7"/>
      <c r="K304" s="7"/>
      <c r="L304" s="7"/>
      <c r="M304" s="7"/>
      <c r="N304" s="7"/>
      <c r="O304" s="9"/>
      <c r="P304" s="6"/>
      <c r="Q304" s="6"/>
    </row>
    <row r="305" spans="1:17" ht="18">
      <c r="A305" s="6"/>
      <c r="B305" s="6"/>
      <c r="C305" s="6"/>
      <c r="D305" s="6"/>
      <c r="E305" s="6"/>
      <c r="F305" s="7"/>
      <c r="G305" s="8"/>
      <c r="H305" s="6"/>
      <c r="I305" s="6"/>
      <c r="J305" s="7"/>
      <c r="K305" s="7"/>
      <c r="L305" s="7"/>
      <c r="M305" s="7"/>
      <c r="N305" s="7"/>
      <c r="O305" s="9"/>
      <c r="P305" s="6"/>
      <c r="Q305" s="6"/>
    </row>
    <row r="306" spans="1:17" ht="18">
      <c r="A306" s="6"/>
      <c r="B306" s="6"/>
      <c r="C306" s="6"/>
      <c r="D306" s="6"/>
      <c r="E306" s="6"/>
      <c r="F306" s="7"/>
      <c r="G306" s="8"/>
      <c r="H306" s="8"/>
      <c r="I306" s="8"/>
      <c r="J306" s="7"/>
      <c r="K306" s="7"/>
      <c r="L306" s="7"/>
      <c r="M306" s="7"/>
      <c r="N306" s="7"/>
      <c r="O306" s="9"/>
      <c r="P306" s="6"/>
      <c r="Q306" s="6"/>
    </row>
    <row r="307" spans="1:17" ht="18">
      <c r="A307" s="6"/>
      <c r="B307" s="6"/>
      <c r="C307" s="6"/>
      <c r="D307" s="6"/>
      <c r="E307" s="6"/>
      <c r="F307" s="7"/>
      <c r="G307" s="8"/>
      <c r="H307" s="8"/>
      <c r="I307" s="8"/>
      <c r="J307" s="7"/>
      <c r="K307" s="7"/>
      <c r="L307" s="7"/>
      <c r="M307" s="7"/>
      <c r="N307" s="7"/>
      <c r="O307" s="9"/>
      <c r="P307" s="6"/>
      <c r="Q307" s="6"/>
    </row>
    <row r="308" spans="1:17" ht="18">
      <c r="A308" s="6"/>
      <c r="B308" s="6"/>
      <c r="C308" s="6"/>
      <c r="D308" s="6"/>
      <c r="E308" s="6"/>
      <c r="F308" s="7"/>
      <c r="G308" s="8"/>
      <c r="H308" s="8"/>
      <c r="I308" s="8"/>
      <c r="J308" s="7"/>
      <c r="K308" s="7"/>
      <c r="L308" s="7"/>
      <c r="M308" s="7"/>
      <c r="N308" s="7"/>
      <c r="O308" s="9"/>
      <c r="P308" s="6"/>
      <c r="Q308" s="10"/>
    </row>
    <row r="309" spans="1:17" ht="18">
      <c r="A309" s="6"/>
      <c r="B309" s="6"/>
      <c r="C309" s="6"/>
      <c r="D309" s="6"/>
      <c r="E309" s="6"/>
      <c r="F309" s="7"/>
      <c r="G309" s="8"/>
      <c r="H309" s="8"/>
      <c r="I309" s="8"/>
      <c r="J309" s="7"/>
      <c r="K309" s="7"/>
      <c r="L309" s="7"/>
      <c r="M309" s="7"/>
      <c r="N309" s="7"/>
      <c r="O309" s="9"/>
      <c r="P309" s="6"/>
      <c r="Q309" s="10"/>
    </row>
    <row r="310" spans="1:17" ht="13.2">
      <c r="O310" s="12"/>
    </row>
    <row r="311" spans="1:17" ht="13.2">
      <c r="O311" s="12"/>
    </row>
    <row r="312" spans="1:17" ht="13.2">
      <c r="O312" s="12"/>
    </row>
    <row r="313" spans="1:17" ht="13.2">
      <c r="O313" s="12"/>
    </row>
    <row r="314" spans="1:17" ht="13.2">
      <c r="O314" s="12"/>
    </row>
    <row r="315" spans="1:17" ht="13.2">
      <c r="O315" s="12"/>
    </row>
    <row r="316" spans="1:17" ht="13.2">
      <c r="O316" s="12"/>
    </row>
    <row r="317" spans="1:17" ht="13.2">
      <c r="O317" s="12"/>
    </row>
    <row r="318" spans="1:17" ht="13.2">
      <c r="O318" s="12"/>
    </row>
    <row r="319" spans="1:17" ht="13.2">
      <c r="O319" s="12"/>
    </row>
    <row r="320" spans="1:17" ht="13.2">
      <c r="O320" s="12"/>
    </row>
    <row r="321" spans="15:15" ht="13.2">
      <c r="O321" s="12"/>
    </row>
    <row r="322" spans="15:15" ht="13.2">
      <c r="O322" s="12"/>
    </row>
    <row r="323" spans="15:15" ht="13.2">
      <c r="O323" s="12"/>
    </row>
    <row r="324" spans="15:15" ht="13.2">
      <c r="O324" s="12"/>
    </row>
    <row r="325" spans="15:15" ht="13.2">
      <c r="O325" s="12"/>
    </row>
    <row r="326" spans="15:15" ht="13.2">
      <c r="O326" s="12"/>
    </row>
    <row r="327" spans="15:15" ht="13.2">
      <c r="O327" s="12"/>
    </row>
    <row r="328" spans="15:15" ht="13.2">
      <c r="O328" s="12"/>
    </row>
    <row r="329" spans="15:15" ht="13.2">
      <c r="O329" s="12"/>
    </row>
    <row r="330" spans="15:15" ht="13.2">
      <c r="O330" s="12"/>
    </row>
    <row r="331" spans="15:15" ht="13.2">
      <c r="O331" s="12"/>
    </row>
    <row r="332" spans="15:15" ht="13.2">
      <c r="O332" s="12"/>
    </row>
    <row r="333" spans="15:15" ht="13.2">
      <c r="O333" s="12"/>
    </row>
    <row r="334" spans="15:15" ht="13.2">
      <c r="O334" s="12"/>
    </row>
    <row r="335" spans="15:15" ht="13.2">
      <c r="O335" s="12"/>
    </row>
    <row r="336" spans="15:15" ht="13.2">
      <c r="O336" s="12"/>
    </row>
    <row r="337" spans="15:15" ht="13.2">
      <c r="O337" s="12"/>
    </row>
    <row r="338" spans="15:15" ht="13.2">
      <c r="O338" s="12"/>
    </row>
    <row r="339" spans="15:15" ht="13.2">
      <c r="O339" s="12"/>
    </row>
    <row r="340" spans="15:15" ht="13.2">
      <c r="O340" s="12"/>
    </row>
    <row r="341" spans="15:15" ht="13.2">
      <c r="O341" s="12"/>
    </row>
    <row r="342" spans="15:15" ht="13.2">
      <c r="O342" s="12"/>
    </row>
    <row r="343" spans="15:15" ht="13.2">
      <c r="O343" s="12"/>
    </row>
    <row r="344" spans="15:15" ht="13.2">
      <c r="O344" s="12"/>
    </row>
    <row r="345" spans="15:15" ht="13.2">
      <c r="O345" s="12"/>
    </row>
    <row r="346" spans="15:15" ht="13.2">
      <c r="O346" s="12"/>
    </row>
    <row r="347" spans="15:15" ht="13.2">
      <c r="O347" s="12"/>
    </row>
    <row r="348" spans="15:15" ht="13.2">
      <c r="O348" s="12"/>
    </row>
    <row r="349" spans="15:15" ht="13.2">
      <c r="O349" s="12"/>
    </row>
    <row r="350" spans="15:15" ht="13.2">
      <c r="O350" s="12"/>
    </row>
    <row r="351" spans="15:15" ht="13.2">
      <c r="O351" s="12"/>
    </row>
    <row r="352" spans="15:15" ht="13.2">
      <c r="O352" s="12"/>
    </row>
    <row r="353" spans="15:15" ht="13.2">
      <c r="O353" s="12"/>
    </row>
    <row r="354" spans="15:15" ht="13.2">
      <c r="O354" s="12"/>
    </row>
    <row r="355" spans="15:15" ht="13.2">
      <c r="O355" s="12"/>
    </row>
    <row r="356" spans="15:15" ht="13.2">
      <c r="O356" s="12"/>
    </row>
    <row r="357" spans="15:15" ht="13.2">
      <c r="O357" s="12"/>
    </row>
    <row r="358" spans="15:15" ht="13.2">
      <c r="O358" s="12"/>
    </row>
    <row r="359" spans="15:15" ht="13.2">
      <c r="O359" s="12"/>
    </row>
    <row r="360" spans="15:15" ht="13.2">
      <c r="O360" s="12"/>
    </row>
    <row r="361" spans="15:15" ht="13.2">
      <c r="O361" s="12"/>
    </row>
    <row r="362" spans="15:15" ht="13.2">
      <c r="O362" s="12"/>
    </row>
    <row r="363" spans="15:15" ht="13.2">
      <c r="O363" s="12"/>
    </row>
    <row r="364" spans="15:15" ht="13.2">
      <c r="O364" s="12"/>
    </row>
    <row r="365" spans="15:15" ht="13.2">
      <c r="O365" s="12"/>
    </row>
    <row r="366" spans="15:15" ht="13.2">
      <c r="O366" s="12"/>
    </row>
    <row r="367" spans="15:15" ht="13.2">
      <c r="O367" s="12"/>
    </row>
    <row r="368" spans="15:15" ht="13.2">
      <c r="O368" s="12"/>
    </row>
    <row r="369" spans="15:15" ht="13.2">
      <c r="O369" s="12"/>
    </row>
    <row r="370" spans="15:15" ht="13.2">
      <c r="O370" s="12"/>
    </row>
    <row r="371" spans="15:15" ht="13.2">
      <c r="O371" s="12"/>
    </row>
    <row r="372" spans="15:15" ht="13.2">
      <c r="O372" s="12"/>
    </row>
    <row r="373" spans="15:15" ht="13.2">
      <c r="O373" s="12"/>
    </row>
    <row r="374" spans="15:15" ht="13.2">
      <c r="O374" s="12"/>
    </row>
    <row r="375" spans="15:15" ht="13.2">
      <c r="O375" s="12"/>
    </row>
    <row r="376" spans="15:15" ht="13.2">
      <c r="O376" s="12"/>
    </row>
    <row r="377" spans="15:15" ht="13.2">
      <c r="O377" s="12"/>
    </row>
    <row r="378" spans="15:15" ht="13.2">
      <c r="O378" s="12"/>
    </row>
    <row r="379" spans="15:15" ht="13.2">
      <c r="O379" s="12"/>
    </row>
    <row r="380" spans="15:15" ht="13.2">
      <c r="O380" s="12"/>
    </row>
    <row r="381" spans="15:15" ht="13.2">
      <c r="O381" s="12"/>
    </row>
    <row r="382" spans="15:15" ht="13.2">
      <c r="O382" s="12"/>
    </row>
    <row r="383" spans="15:15" ht="13.2">
      <c r="O383" s="12"/>
    </row>
    <row r="384" spans="15:15" ht="13.2">
      <c r="O384" s="12"/>
    </row>
    <row r="385" spans="15:15" ht="13.2">
      <c r="O385" s="12"/>
    </row>
    <row r="386" spans="15:15" ht="13.2">
      <c r="O386" s="12"/>
    </row>
    <row r="387" spans="15:15" ht="13.2">
      <c r="O387" s="12"/>
    </row>
    <row r="388" spans="15:15" ht="13.2">
      <c r="O388" s="12"/>
    </row>
    <row r="389" spans="15:15" ht="13.2">
      <c r="O389" s="12"/>
    </row>
    <row r="390" spans="15:15" ht="13.2">
      <c r="O390" s="12"/>
    </row>
    <row r="391" spans="15:15" ht="13.2">
      <c r="O391" s="12"/>
    </row>
    <row r="392" spans="15:15" ht="13.2">
      <c r="O392" s="12"/>
    </row>
    <row r="393" spans="15:15" ht="13.2">
      <c r="O393" s="12"/>
    </row>
    <row r="394" spans="15:15" ht="13.2">
      <c r="O394" s="12"/>
    </row>
    <row r="395" spans="15:15" ht="13.2">
      <c r="O395" s="12"/>
    </row>
    <row r="396" spans="15:15" ht="13.2">
      <c r="O396" s="12"/>
    </row>
    <row r="397" spans="15:15" ht="13.2">
      <c r="O397" s="12"/>
    </row>
    <row r="398" spans="15:15" ht="13.2">
      <c r="O398" s="12"/>
    </row>
    <row r="399" spans="15:15" ht="13.2">
      <c r="O399" s="12"/>
    </row>
    <row r="400" spans="15:15" ht="13.2">
      <c r="O400" s="12"/>
    </row>
    <row r="401" spans="15:15" ht="13.2">
      <c r="O401" s="12"/>
    </row>
    <row r="402" spans="15:15" ht="13.2">
      <c r="O402" s="12"/>
    </row>
    <row r="403" spans="15:15" ht="13.2">
      <c r="O403" s="12"/>
    </row>
    <row r="404" spans="15:15" ht="13.2">
      <c r="O404" s="12"/>
    </row>
    <row r="405" spans="15:15" ht="13.2">
      <c r="O405" s="12"/>
    </row>
    <row r="406" spans="15:15" ht="13.2">
      <c r="O406" s="12"/>
    </row>
    <row r="407" spans="15:15" ht="13.2">
      <c r="O407" s="12"/>
    </row>
    <row r="408" spans="15:15" ht="13.2">
      <c r="O408" s="12"/>
    </row>
    <row r="409" spans="15:15" ht="13.2">
      <c r="O409" s="12"/>
    </row>
    <row r="410" spans="15:15" ht="13.2">
      <c r="O410" s="12"/>
    </row>
    <row r="411" spans="15:15" ht="13.2">
      <c r="O411" s="12"/>
    </row>
    <row r="412" spans="15:15" ht="13.2">
      <c r="O412" s="12"/>
    </row>
    <row r="413" spans="15:15" ht="13.2">
      <c r="O413" s="12"/>
    </row>
    <row r="414" spans="15:15" ht="13.2">
      <c r="O414" s="12"/>
    </row>
    <row r="415" spans="15:15" ht="13.2">
      <c r="O415" s="12"/>
    </row>
    <row r="416" spans="15:15" ht="13.2">
      <c r="O416" s="12"/>
    </row>
    <row r="417" spans="15:15" ht="13.2">
      <c r="O417" s="12"/>
    </row>
    <row r="418" spans="15:15" ht="13.2">
      <c r="O418" s="12"/>
    </row>
    <row r="419" spans="15:15" ht="13.2">
      <c r="O419" s="12"/>
    </row>
    <row r="420" spans="15:15" ht="13.2">
      <c r="O420" s="12"/>
    </row>
    <row r="421" spans="15:15" ht="13.2">
      <c r="O421" s="12"/>
    </row>
    <row r="422" spans="15:15" ht="13.2">
      <c r="O422" s="12"/>
    </row>
    <row r="423" spans="15:15" ht="13.2">
      <c r="O423" s="12"/>
    </row>
    <row r="424" spans="15:15" ht="13.2">
      <c r="O424" s="12"/>
    </row>
    <row r="425" spans="15:15" ht="13.2">
      <c r="O425" s="12"/>
    </row>
    <row r="426" spans="15:15" ht="13.2">
      <c r="O426" s="12"/>
    </row>
    <row r="427" spans="15:15" ht="13.2">
      <c r="O427" s="12"/>
    </row>
    <row r="428" spans="15:15" ht="13.2">
      <c r="O428" s="12"/>
    </row>
    <row r="429" spans="15:15" ht="13.2">
      <c r="O429" s="12"/>
    </row>
    <row r="430" spans="15:15" ht="13.2">
      <c r="O430" s="12"/>
    </row>
    <row r="431" spans="15:15" ht="13.2">
      <c r="O431" s="12"/>
    </row>
    <row r="432" spans="15:15" ht="13.2">
      <c r="O432" s="12"/>
    </row>
    <row r="433" spans="15:15" ht="13.2">
      <c r="O433" s="12"/>
    </row>
    <row r="434" spans="15:15" ht="13.2">
      <c r="O434" s="12"/>
    </row>
    <row r="435" spans="15:15" ht="13.2">
      <c r="O435" s="12"/>
    </row>
    <row r="436" spans="15:15" ht="13.2">
      <c r="O436" s="12"/>
    </row>
    <row r="437" spans="15:15" ht="13.2">
      <c r="O437" s="12"/>
    </row>
    <row r="438" spans="15:15" ht="13.2">
      <c r="O438" s="12"/>
    </row>
    <row r="439" spans="15:15" ht="13.2">
      <c r="O439" s="12"/>
    </row>
    <row r="440" spans="15:15" ht="13.2">
      <c r="O440" s="12"/>
    </row>
    <row r="441" spans="15:15" ht="13.2">
      <c r="O441" s="12"/>
    </row>
    <row r="442" spans="15:15" ht="13.2">
      <c r="O442" s="12"/>
    </row>
    <row r="443" spans="15:15" ht="13.2">
      <c r="O443" s="12"/>
    </row>
    <row r="444" spans="15:15" ht="13.2">
      <c r="O444" s="12"/>
    </row>
    <row r="445" spans="15:15" ht="13.2">
      <c r="O445" s="12"/>
    </row>
    <row r="446" spans="15:15" ht="13.2">
      <c r="O446" s="12"/>
    </row>
    <row r="447" spans="15:15" ht="13.2">
      <c r="O447" s="12"/>
    </row>
    <row r="448" spans="15:15" ht="13.2">
      <c r="O448" s="12"/>
    </row>
    <row r="449" spans="15:15" ht="13.2">
      <c r="O449" s="12"/>
    </row>
    <row r="450" spans="15:15" ht="13.2">
      <c r="O450" s="12"/>
    </row>
    <row r="451" spans="15:15" ht="13.2">
      <c r="O451" s="12"/>
    </row>
    <row r="452" spans="15:15" ht="13.2">
      <c r="O452" s="12"/>
    </row>
    <row r="453" spans="15:15" ht="13.2">
      <c r="O453" s="12"/>
    </row>
    <row r="454" spans="15:15" ht="13.2">
      <c r="O454" s="12"/>
    </row>
    <row r="455" spans="15:15" ht="13.2">
      <c r="O455" s="12"/>
    </row>
    <row r="456" spans="15:15" ht="13.2">
      <c r="O456" s="12"/>
    </row>
    <row r="457" spans="15:15" ht="13.2">
      <c r="O457" s="12"/>
    </row>
    <row r="458" spans="15:15" ht="13.2">
      <c r="O458" s="12"/>
    </row>
    <row r="459" spans="15:15" ht="13.2">
      <c r="O459" s="12"/>
    </row>
    <row r="460" spans="15:15" ht="13.2">
      <c r="O460" s="12"/>
    </row>
    <row r="461" spans="15:15" ht="13.2">
      <c r="O461" s="12"/>
    </row>
    <row r="462" spans="15:15" ht="13.2">
      <c r="O462" s="12"/>
    </row>
    <row r="463" spans="15:15" ht="13.2">
      <c r="O463" s="12"/>
    </row>
    <row r="464" spans="15:15" ht="13.2">
      <c r="O464" s="12"/>
    </row>
    <row r="465" spans="15:15" ht="13.2">
      <c r="O465" s="12"/>
    </row>
    <row r="466" spans="15:15" ht="13.2">
      <c r="O466" s="12"/>
    </row>
    <row r="467" spans="15:15" ht="13.2">
      <c r="O467" s="12"/>
    </row>
    <row r="468" spans="15:15" ht="13.2">
      <c r="O468" s="12"/>
    </row>
    <row r="469" spans="15:15" ht="13.2">
      <c r="O469" s="12"/>
    </row>
    <row r="470" spans="15:15" ht="13.2">
      <c r="O470" s="12"/>
    </row>
    <row r="471" spans="15:15" ht="13.2">
      <c r="O471" s="12"/>
    </row>
    <row r="472" spans="15:15" ht="13.2">
      <c r="O472" s="12"/>
    </row>
    <row r="473" spans="15:15" ht="13.2">
      <c r="O473" s="12"/>
    </row>
    <row r="474" spans="15:15" ht="13.2">
      <c r="O474" s="12"/>
    </row>
    <row r="475" spans="15:15" ht="13.2">
      <c r="O475" s="12"/>
    </row>
    <row r="476" spans="15:15" ht="13.2">
      <c r="O476" s="12"/>
    </row>
    <row r="477" spans="15:15" ht="13.2">
      <c r="O477" s="12"/>
    </row>
    <row r="478" spans="15:15" ht="13.2">
      <c r="O478" s="12"/>
    </row>
    <row r="479" spans="15:15" ht="13.2">
      <c r="O479" s="12"/>
    </row>
    <row r="480" spans="15:15" ht="13.2">
      <c r="O480" s="12"/>
    </row>
    <row r="481" spans="15:15" ht="13.2">
      <c r="O481" s="12"/>
    </row>
    <row r="482" spans="15:15" ht="13.2">
      <c r="O482" s="12"/>
    </row>
    <row r="483" spans="15:15" ht="13.2">
      <c r="O483" s="12"/>
    </row>
    <row r="484" spans="15:15" ht="13.2">
      <c r="O484" s="12"/>
    </row>
    <row r="485" spans="15:15" ht="13.2">
      <c r="O485" s="12"/>
    </row>
    <row r="486" spans="15:15" ht="13.2">
      <c r="O486" s="12"/>
    </row>
    <row r="487" spans="15:15" ht="13.2">
      <c r="O487" s="12"/>
    </row>
    <row r="488" spans="15:15" ht="13.2">
      <c r="O488" s="12"/>
    </row>
    <row r="489" spans="15:15" ht="13.2">
      <c r="O489" s="12"/>
    </row>
    <row r="490" spans="15:15" ht="13.2">
      <c r="O490" s="12"/>
    </row>
    <row r="491" spans="15:15" ht="13.2">
      <c r="O491" s="12"/>
    </row>
    <row r="492" spans="15:15" ht="13.2">
      <c r="O492" s="12"/>
    </row>
    <row r="493" spans="15:15" ht="13.2">
      <c r="O493" s="12"/>
    </row>
    <row r="494" spans="15:15" ht="13.2">
      <c r="O494" s="12"/>
    </row>
    <row r="495" spans="15:15" ht="13.2">
      <c r="O495" s="12"/>
    </row>
    <row r="496" spans="15:15" ht="13.2">
      <c r="O496" s="12"/>
    </row>
    <row r="497" spans="15:15" ht="13.2">
      <c r="O497" s="12"/>
    </row>
    <row r="498" spans="15:15" ht="13.2">
      <c r="O498" s="12"/>
    </row>
    <row r="499" spans="15:15" ht="13.2">
      <c r="O499" s="12"/>
    </row>
    <row r="500" spans="15:15" ht="13.2">
      <c r="O500" s="12"/>
    </row>
    <row r="501" spans="15:15" ht="13.2">
      <c r="O501" s="12"/>
    </row>
    <row r="502" spans="15:15" ht="13.2">
      <c r="O502" s="12"/>
    </row>
    <row r="503" spans="15:15" ht="13.2">
      <c r="O503" s="12"/>
    </row>
    <row r="504" spans="15:15" ht="13.2">
      <c r="O504" s="12"/>
    </row>
    <row r="505" spans="15:15" ht="13.2">
      <c r="O505" s="12"/>
    </row>
    <row r="506" spans="15:15" ht="13.2">
      <c r="O506" s="12"/>
    </row>
    <row r="507" spans="15:15" ht="13.2">
      <c r="O507" s="12"/>
    </row>
    <row r="508" spans="15:15" ht="13.2">
      <c r="O508" s="12"/>
    </row>
    <row r="509" spans="15:15" ht="13.2">
      <c r="O509" s="12"/>
    </row>
    <row r="510" spans="15:15" ht="13.2">
      <c r="O510" s="12"/>
    </row>
    <row r="511" spans="15:15" ht="13.2">
      <c r="O511" s="12"/>
    </row>
    <row r="512" spans="15:15" ht="13.2">
      <c r="O512" s="12"/>
    </row>
    <row r="513" spans="15:15" ht="13.2">
      <c r="O513" s="12"/>
    </row>
    <row r="514" spans="15:15" ht="13.2">
      <c r="O514" s="12"/>
    </row>
    <row r="515" spans="15:15" ht="13.2">
      <c r="O515" s="12"/>
    </row>
    <row r="516" spans="15:15" ht="13.2">
      <c r="O516" s="12"/>
    </row>
    <row r="517" spans="15:15" ht="13.2">
      <c r="O517" s="12"/>
    </row>
    <row r="518" spans="15:15" ht="13.2">
      <c r="O518" s="12"/>
    </row>
    <row r="519" spans="15:15" ht="13.2">
      <c r="O519" s="12"/>
    </row>
    <row r="520" spans="15:15" ht="13.2">
      <c r="O520" s="12"/>
    </row>
    <row r="521" spans="15:15" ht="13.2">
      <c r="O521" s="12"/>
    </row>
    <row r="522" spans="15:15" ht="13.2">
      <c r="O522" s="12"/>
    </row>
    <row r="523" spans="15:15" ht="13.2">
      <c r="O523" s="12"/>
    </row>
    <row r="524" spans="15:15" ht="13.2">
      <c r="O524" s="12"/>
    </row>
    <row r="525" spans="15:15" ht="13.2">
      <c r="O525" s="12"/>
    </row>
    <row r="526" spans="15:15" ht="13.2">
      <c r="O526" s="12"/>
    </row>
    <row r="527" spans="15:15" ht="13.2">
      <c r="O527" s="12"/>
    </row>
    <row r="528" spans="15:15" ht="13.2">
      <c r="O528" s="12"/>
    </row>
    <row r="529" spans="15:15" ht="13.2">
      <c r="O529" s="12"/>
    </row>
    <row r="530" spans="15:15" ht="13.2">
      <c r="O530" s="12"/>
    </row>
    <row r="531" spans="15:15" ht="13.2">
      <c r="O531" s="12"/>
    </row>
    <row r="532" spans="15:15" ht="13.2">
      <c r="O532" s="12"/>
    </row>
    <row r="533" spans="15:15" ht="13.2">
      <c r="O533" s="12"/>
    </row>
    <row r="534" spans="15:15" ht="13.2">
      <c r="O534" s="12"/>
    </row>
    <row r="535" spans="15:15" ht="13.2">
      <c r="O535" s="12"/>
    </row>
    <row r="536" spans="15:15" ht="13.2">
      <c r="O536" s="12"/>
    </row>
    <row r="537" spans="15:15" ht="13.2">
      <c r="O537" s="12"/>
    </row>
    <row r="538" spans="15:15" ht="13.2">
      <c r="O538" s="12"/>
    </row>
    <row r="539" spans="15:15" ht="13.2">
      <c r="O539" s="12"/>
    </row>
    <row r="540" spans="15:15" ht="13.2">
      <c r="O540" s="12"/>
    </row>
    <row r="541" spans="15:15" ht="13.2">
      <c r="O541" s="12"/>
    </row>
    <row r="542" spans="15:15" ht="13.2">
      <c r="O542" s="12"/>
    </row>
    <row r="543" spans="15:15" ht="13.2">
      <c r="O543" s="12"/>
    </row>
    <row r="544" spans="15:15" ht="13.2">
      <c r="O544" s="12"/>
    </row>
    <row r="545" spans="15:15" ht="13.2">
      <c r="O545" s="12"/>
    </row>
    <row r="546" spans="15:15" ht="13.2">
      <c r="O546" s="12"/>
    </row>
    <row r="547" spans="15:15" ht="13.2">
      <c r="O547" s="12"/>
    </row>
    <row r="548" spans="15:15" ht="13.2">
      <c r="O548" s="12"/>
    </row>
    <row r="549" spans="15:15" ht="13.2">
      <c r="O549" s="12"/>
    </row>
    <row r="550" spans="15:15" ht="13.2">
      <c r="O550" s="12"/>
    </row>
    <row r="551" spans="15:15" ht="13.2">
      <c r="O551" s="12"/>
    </row>
    <row r="552" spans="15:15" ht="13.2">
      <c r="O552" s="12"/>
    </row>
    <row r="553" spans="15:15" ht="13.2">
      <c r="O553" s="12"/>
    </row>
    <row r="554" spans="15:15" ht="13.2">
      <c r="O554" s="12"/>
    </row>
    <row r="555" spans="15:15" ht="13.2">
      <c r="O555" s="12"/>
    </row>
    <row r="556" spans="15:15" ht="13.2">
      <c r="O556" s="12"/>
    </row>
    <row r="557" spans="15:15" ht="13.2">
      <c r="O557" s="12"/>
    </row>
    <row r="558" spans="15:15" ht="13.2">
      <c r="O558" s="12"/>
    </row>
    <row r="559" spans="15:15" ht="13.2">
      <c r="O559" s="12"/>
    </row>
    <row r="560" spans="15:15" ht="13.2">
      <c r="O560" s="12"/>
    </row>
    <row r="561" spans="15:15" ht="13.2">
      <c r="O561" s="12"/>
    </row>
    <row r="562" spans="15:15" ht="13.2">
      <c r="O562" s="12"/>
    </row>
    <row r="563" spans="15:15" ht="13.2">
      <c r="O563" s="12"/>
    </row>
    <row r="564" spans="15:15" ht="13.2">
      <c r="O564" s="12"/>
    </row>
    <row r="565" spans="15:15" ht="13.2">
      <c r="O565" s="12"/>
    </row>
    <row r="566" spans="15:15" ht="13.2">
      <c r="O566" s="12"/>
    </row>
    <row r="567" spans="15:15" ht="13.2">
      <c r="O567" s="12"/>
    </row>
    <row r="568" spans="15:15" ht="13.2">
      <c r="O568" s="12"/>
    </row>
    <row r="569" spans="15:15" ht="13.2">
      <c r="O569" s="12"/>
    </row>
    <row r="570" spans="15:15" ht="13.2">
      <c r="O570" s="12"/>
    </row>
    <row r="571" spans="15:15" ht="13.2">
      <c r="O571" s="12"/>
    </row>
    <row r="572" spans="15:15" ht="13.2">
      <c r="O572" s="12"/>
    </row>
    <row r="573" spans="15:15" ht="13.2">
      <c r="O573" s="12"/>
    </row>
    <row r="574" spans="15:15" ht="13.2">
      <c r="O574" s="12"/>
    </row>
    <row r="575" spans="15:15" ht="13.2">
      <c r="O575" s="12"/>
    </row>
    <row r="576" spans="15:15" ht="13.2">
      <c r="O576" s="12"/>
    </row>
    <row r="577" spans="15:15" ht="13.2">
      <c r="O577" s="12"/>
    </row>
    <row r="578" spans="15:15" ht="13.2">
      <c r="O578" s="12"/>
    </row>
    <row r="579" spans="15:15" ht="13.2">
      <c r="O579" s="12"/>
    </row>
    <row r="580" spans="15:15" ht="13.2">
      <c r="O580" s="12"/>
    </row>
    <row r="581" spans="15:15" ht="13.2">
      <c r="O581" s="12"/>
    </row>
    <row r="582" spans="15:15" ht="13.2">
      <c r="O582" s="12"/>
    </row>
    <row r="583" spans="15:15" ht="13.2">
      <c r="O583" s="12"/>
    </row>
    <row r="584" spans="15:15" ht="13.2">
      <c r="O584" s="12"/>
    </row>
    <row r="585" spans="15:15" ht="13.2">
      <c r="O585" s="12"/>
    </row>
    <row r="586" spans="15:15" ht="13.2">
      <c r="O586" s="12"/>
    </row>
    <row r="587" spans="15:15" ht="13.2">
      <c r="O587" s="12"/>
    </row>
    <row r="588" spans="15:15" ht="13.2">
      <c r="O588" s="12"/>
    </row>
    <row r="589" spans="15:15" ht="13.2">
      <c r="O589" s="12"/>
    </row>
    <row r="590" spans="15:15" ht="13.2">
      <c r="O590" s="12"/>
    </row>
    <row r="591" spans="15:15" ht="13.2">
      <c r="O591" s="12"/>
    </row>
    <row r="592" spans="15:15" ht="13.2">
      <c r="O592" s="12"/>
    </row>
    <row r="593" spans="15:15" ht="13.2">
      <c r="O593" s="12"/>
    </row>
    <row r="594" spans="15:15" ht="13.2">
      <c r="O594" s="12"/>
    </row>
    <row r="595" spans="15:15" ht="13.2">
      <c r="O595" s="12"/>
    </row>
    <row r="596" spans="15:15" ht="13.2">
      <c r="O596" s="12"/>
    </row>
    <row r="597" spans="15:15" ht="13.2">
      <c r="O597" s="12"/>
    </row>
    <row r="598" spans="15:15" ht="13.2">
      <c r="O598" s="12"/>
    </row>
    <row r="599" spans="15:15" ht="13.2">
      <c r="O599" s="12"/>
    </row>
    <row r="600" spans="15:15" ht="13.2">
      <c r="O600" s="12"/>
    </row>
    <row r="601" spans="15:15" ht="13.2">
      <c r="O601" s="12"/>
    </row>
    <row r="602" spans="15:15" ht="13.2">
      <c r="O602" s="12"/>
    </row>
    <row r="603" spans="15:15" ht="13.2">
      <c r="O603" s="12"/>
    </row>
    <row r="604" spans="15:15" ht="13.2">
      <c r="O604" s="12"/>
    </row>
    <row r="605" spans="15:15" ht="13.2">
      <c r="O605" s="12"/>
    </row>
    <row r="606" spans="15:15" ht="13.2">
      <c r="O606" s="12"/>
    </row>
    <row r="607" spans="15:15" ht="13.2">
      <c r="O607" s="12"/>
    </row>
    <row r="608" spans="15:15" ht="13.2">
      <c r="O608" s="12"/>
    </row>
    <row r="609" spans="15:15" ht="13.2">
      <c r="O609" s="12"/>
    </row>
    <row r="610" spans="15:15" ht="13.2">
      <c r="O610" s="12"/>
    </row>
    <row r="611" spans="15:15" ht="13.2">
      <c r="O611" s="12"/>
    </row>
    <row r="612" spans="15:15" ht="13.2">
      <c r="O612" s="12"/>
    </row>
    <row r="613" spans="15:15" ht="13.2">
      <c r="O613" s="12"/>
    </row>
    <row r="614" spans="15:15" ht="13.2">
      <c r="O614" s="12"/>
    </row>
    <row r="615" spans="15:15" ht="13.2">
      <c r="O615" s="12"/>
    </row>
    <row r="616" spans="15:15" ht="13.2">
      <c r="O616" s="12"/>
    </row>
    <row r="617" spans="15:15" ht="13.2">
      <c r="O617" s="12"/>
    </row>
    <row r="618" spans="15:15" ht="13.2">
      <c r="O618" s="12"/>
    </row>
    <row r="619" spans="15:15" ht="13.2">
      <c r="O619" s="12"/>
    </row>
    <row r="620" spans="15:15" ht="13.2">
      <c r="O620" s="12"/>
    </row>
    <row r="621" spans="15:15" ht="13.2">
      <c r="O621" s="12"/>
    </row>
    <row r="622" spans="15:15" ht="13.2">
      <c r="O622" s="12"/>
    </row>
    <row r="623" spans="15:15" ht="13.2">
      <c r="O623" s="12"/>
    </row>
    <row r="624" spans="15:15" ht="13.2">
      <c r="O624" s="12"/>
    </row>
    <row r="625" spans="15:15" ht="13.2">
      <c r="O625" s="12"/>
    </row>
    <row r="626" spans="15:15" ht="13.2">
      <c r="O626" s="12"/>
    </row>
    <row r="627" spans="15:15" ht="13.2">
      <c r="O627" s="12"/>
    </row>
    <row r="628" spans="15:15" ht="13.2">
      <c r="O628" s="12"/>
    </row>
    <row r="629" spans="15:15" ht="13.2">
      <c r="O629" s="12"/>
    </row>
    <row r="630" spans="15:15" ht="13.2">
      <c r="O630" s="12"/>
    </row>
    <row r="631" spans="15:15" ht="13.2">
      <c r="O631" s="12"/>
    </row>
    <row r="632" spans="15:15" ht="13.2">
      <c r="O632" s="12"/>
    </row>
    <row r="633" spans="15:15" ht="13.2">
      <c r="O633" s="12"/>
    </row>
    <row r="634" spans="15:15" ht="13.2">
      <c r="O634" s="12"/>
    </row>
    <row r="635" spans="15:15" ht="13.2">
      <c r="O635" s="12"/>
    </row>
    <row r="636" spans="15:15" ht="13.2">
      <c r="O636" s="12"/>
    </row>
    <row r="637" spans="15:15" ht="13.2">
      <c r="O637" s="12"/>
    </row>
    <row r="638" spans="15:15" ht="13.2">
      <c r="O638" s="12"/>
    </row>
    <row r="639" spans="15:15" ht="13.2">
      <c r="O639" s="12"/>
    </row>
    <row r="640" spans="15:15" ht="13.2">
      <c r="O640" s="12"/>
    </row>
    <row r="641" spans="15:15" ht="13.2">
      <c r="O641" s="12"/>
    </row>
    <row r="642" spans="15:15" ht="13.2">
      <c r="O642" s="12"/>
    </row>
    <row r="643" spans="15:15" ht="13.2">
      <c r="O643" s="12"/>
    </row>
    <row r="644" spans="15:15" ht="13.2">
      <c r="O644" s="12"/>
    </row>
    <row r="645" spans="15:15" ht="13.2">
      <c r="O645" s="12"/>
    </row>
    <row r="646" spans="15:15" ht="13.2">
      <c r="O646" s="12"/>
    </row>
    <row r="647" spans="15:15" ht="13.2">
      <c r="O647" s="12"/>
    </row>
    <row r="648" spans="15:15" ht="13.2">
      <c r="O648" s="12"/>
    </row>
    <row r="649" spans="15:15" ht="13.2">
      <c r="O649" s="12"/>
    </row>
    <row r="650" spans="15:15" ht="13.2">
      <c r="O650" s="12"/>
    </row>
    <row r="651" spans="15:15" ht="13.2">
      <c r="O651" s="12"/>
    </row>
    <row r="652" spans="15:15" ht="13.2">
      <c r="O652" s="12"/>
    </row>
    <row r="653" spans="15:15" ht="13.2">
      <c r="O653" s="12"/>
    </row>
    <row r="654" spans="15:15" ht="13.2">
      <c r="O654" s="12"/>
    </row>
    <row r="655" spans="15:15" ht="13.2">
      <c r="O655" s="12"/>
    </row>
    <row r="656" spans="15:15" ht="13.2">
      <c r="O656" s="12"/>
    </row>
    <row r="657" spans="15:15" ht="13.2">
      <c r="O657" s="12"/>
    </row>
    <row r="658" spans="15:15" ht="13.2">
      <c r="O658" s="12"/>
    </row>
    <row r="659" spans="15:15" ht="13.2">
      <c r="O659" s="12"/>
    </row>
    <row r="660" spans="15:15" ht="13.2">
      <c r="O660" s="12"/>
    </row>
    <row r="661" spans="15:15" ht="13.2">
      <c r="O661" s="12"/>
    </row>
    <row r="662" spans="15:15" ht="13.2">
      <c r="O662" s="12"/>
    </row>
    <row r="663" spans="15:15" ht="13.2">
      <c r="O663" s="12"/>
    </row>
    <row r="664" spans="15:15" ht="13.2">
      <c r="O664" s="12"/>
    </row>
    <row r="665" spans="15:15" ht="13.2">
      <c r="O665" s="12"/>
    </row>
    <row r="666" spans="15:15" ht="13.2">
      <c r="O666" s="12"/>
    </row>
    <row r="667" spans="15:15" ht="13.2">
      <c r="O667" s="12"/>
    </row>
    <row r="668" spans="15:15" ht="13.2">
      <c r="O668" s="12"/>
    </row>
    <row r="669" spans="15:15" ht="13.2">
      <c r="O669" s="12"/>
    </row>
    <row r="670" spans="15:15" ht="13.2">
      <c r="O670" s="12"/>
    </row>
    <row r="671" spans="15:15" ht="13.2">
      <c r="O671" s="12"/>
    </row>
    <row r="672" spans="15:15" ht="13.2">
      <c r="O672" s="12"/>
    </row>
    <row r="673" spans="15:15" ht="13.2">
      <c r="O673" s="12"/>
    </row>
    <row r="674" spans="15:15" ht="13.2">
      <c r="O674" s="12"/>
    </row>
    <row r="675" spans="15:15" ht="13.2">
      <c r="O675" s="12"/>
    </row>
    <row r="676" spans="15:15" ht="13.2">
      <c r="O676" s="12"/>
    </row>
    <row r="677" spans="15:15" ht="13.2">
      <c r="O677" s="12"/>
    </row>
    <row r="678" spans="15:15" ht="13.2">
      <c r="O678" s="12"/>
    </row>
    <row r="679" spans="15:15" ht="13.2">
      <c r="O679" s="12"/>
    </row>
    <row r="680" spans="15:15" ht="13.2">
      <c r="O680" s="12"/>
    </row>
    <row r="681" spans="15:15" ht="13.2">
      <c r="O681" s="12"/>
    </row>
    <row r="682" spans="15:15" ht="13.2">
      <c r="O682" s="12"/>
    </row>
    <row r="683" spans="15:15" ht="13.2">
      <c r="O683" s="12"/>
    </row>
    <row r="684" spans="15:15" ht="13.2">
      <c r="O684" s="12"/>
    </row>
    <row r="685" spans="15:15" ht="13.2">
      <c r="O685" s="12"/>
    </row>
    <row r="686" spans="15:15" ht="13.2">
      <c r="O686" s="12"/>
    </row>
    <row r="687" spans="15:15" ht="13.2">
      <c r="O687" s="12"/>
    </row>
    <row r="688" spans="15:15" ht="13.2">
      <c r="O688" s="12"/>
    </row>
    <row r="689" spans="15:15" ht="13.2">
      <c r="O689" s="12"/>
    </row>
    <row r="690" spans="15:15" ht="13.2">
      <c r="O690" s="12"/>
    </row>
    <row r="691" spans="15:15" ht="13.2">
      <c r="O691" s="12"/>
    </row>
    <row r="692" spans="15:15" ht="13.2">
      <c r="O692" s="12"/>
    </row>
    <row r="693" spans="15:15" ht="13.2">
      <c r="O693" s="12"/>
    </row>
    <row r="694" spans="15:15" ht="13.2">
      <c r="O694" s="12"/>
    </row>
    <row r="695" spans="15:15" ht="13.2">
      <c r="O695" s="12"/>
    </row>
    <row r="696" spans="15:15" ht="13.2">
      <c r="O696" s="12"/>
    </row>
    <row r="697" spans="15:15" ht="13.2">
      <c r="O697" s="12"/>
    </row>
    <row r="698" spans="15:15" ht="13.2">
      <c r="O698" s="12"/>
    </row>
    <row r="699" spans="15:15" ht="13.2">
      <c r="O699" s="12"/>
    </row>
    <row r="700" spans="15:15" ht="13.2">
      <c r="O700" s="12"/>
    </row>
    <row r="701" spans="15:15" ht="13.2">
      <c r="O701" s="12"/>
    </row>
    <row r="702" spans="15:15" ht="13.2">
      <c r="O702" s="12"/>
    </row>
    <row r="703" spans="15:15" ht="13.2">
      <c r="O703" s="12"/>
    </row>
    <row r="704" spans="15:15" ht="13.2">
      <c r="O704" s="12"/>
    </row>
    <row r="705" spans="15:15" ht="13.2">
      <c r="O705" s="12"/>
    </row>
    <row r="706" spans="15:15" ht="13.2">
      <c r="O706" s="12"/>
    </row>
    <row r="707" spans="15:15" ht="13.2">
      <c r="O707" s="12"/>
    </row>
    <row r="708" spans="15:15" ht="13.2">
      <c r="O708" s="12"/>
    </row>
    <row r="709" spans="15:15" ht="13.2">
      <c r="O709" s="12"/>
    </row>
    <row r="710" spans="15:15" ht="13.2">
      <c r="O710" s="12"/>
    </row>
    <row r="711" spans="15:15" ht="13.2">
      <c r="O711" s="12"/>
    </row>
    <row r="712" spans="15:15" ht="13.2">
      <c r="O712" s="12"/>
    </row>
    <row r="713" spans="15:15" ht="13.2">
      <c r="O713" s="12"/>
    </row>
    <row r="714" spans="15:15" ht="13.2">
      <c r="O714" s="12"/>
    </row>
    <row r="715" spans="15:15" ht="13.2">
      <c r="O715" s="12"/>
    </row>
    <row r="716" spans="15:15" ht="13.2">
      <c r="O716" s="12"/>
    </row>
    <row r="717" spans="15:15" ht="13.2">
      <c r="O717" s="12"/>
    </row>
    <row r="718" spans="15:15" ht="13.2">
      <c r="O718" s="12"/>
    </row>
    <row r="719" spans="15:15" ht="13.2">
      <c r="O719" s="12"/>
    </row>
    <row r="720" spans="15:15" ht="13.2">
      <c r="O720" s="12"/>
    </row>
    <row r="721" spans="15:15" ht="13.2">
      <c r="O721" s="12"/>
    </row>
    <row r="722" spans="15:15" ht="13.2">
      <c r="O722" s="12"/>
    </row>
    <row r="723" spans="15:15" ht="13.2">
      <c r="O723" s="12"/>
    </row>
    <row r="724" spans="15:15" ht="13.2">
      <c r="O724" s="12"/>
    </row>
    <row r="725" spans="15:15" ht="13.2">
      <c r="O725" s="12"/>
    </row>
    <row r="726" spans="15:15" ht="13.2">
      <c r="O726" s="12"/>
    </row>
    <row r="727" spans="15:15" ht="13.2">
      <c r="O727" s="12"/>
    </row>
    <row r="728" spans="15:15" ht="13.2">
      <c r="O728" s="12"/>
    </row>
    <row r="729" spans="15:15" ht="13.2">
      <c r="O729" s="12"/>
    </row>
    <row r="730" spans="15:15" ht="13.2">
      <c r="O730" s="12"/>
    </row>
    <row r="731" spans="15:15" ht="13.2">
      <c r="O731" s="12"/>
    </row>
    <row r="732" spans="15:15" ht="13.2">
      <c r="O732" s="12"/>
    </row>
    <row r="733" spans="15:15" ht="13.2">
      <c r="O733" s="12"/>
    </row>
    <row r="734" spans="15:15" ht="13.2">
      <c r="O734" s="12"/>
    </row>
    <row r="735" spans="15:15" ht="13.2">
      <c r="O735" s="12"/>
    </row>
    <row r="736" spans="15:15" ht="13.2">
      <c r="O736" s="12"/>
    </row>
    <row r="737" spans="15:15" ht="13.2">
      <c r="O737" s="12"/>
    </row>
    <row r="738" spans="15:15" ht="13.2">
      <c r="O738" s="12"/>
    </row>
    <row r="739" spans="15:15" ht="13.2">
      <c r="O739" s="12"/>
    </row>
    <row r="740" spans="15:15" ht="13.2">
      <c r="O740" s="12"/>
    </row>
    <row r="741" spans="15:15" ht="13.2">
      <c r="O741" s="12"/>
    </row>
    <row r="742" spans="15:15" ht="13.2">
      <c r="O742" s="12"/>
    </row>
    <row r="743" spans="15:15" ht="13.2">
      <c r="O743" s="12"/>
    </row>
    <row r="744" spans="15:15" ht="13.2">
      <c r="O744" s="12"/>
    </row>
    <row r="745" spans="15:15" ht="13.2">
      <c r="O745" s="12"/>
    </row>
    <row r="746" spans="15:15" ht="13.2">
      <c r="O746" s="12"/>
    </row>
    <row r="747" spans="15:15" ht="13.2">
      <c r="O747" s="12"/>
    </row>
    <row r="748" spans="15:15" ht="13.2">
      <c r="O748" s="12"/>
    </row>
    <row r="749" spans="15:15" ht="13.2">
      <c r="O749" s="12"/>
    </row>
    <row r="750" spans="15:15" ht="13.2">
      <c r="O750" s="12"/>
    </row>
    <row r="751" spans="15:15" ht="13.2">
      <c r="O751" s="12"/>
    </row>
    <row r="752" spans="15:15" ht="13.2">
      <c r="O752" s="12"/>
    </row>
    <row r="753" spans="15:15" ht="13.2">
      <c r="O753" s="12"/>
    </row>
    <row r="754" spans="15:15" ht="13.2">
      <c r="O754" s="12"/>
    </row>
    <row r="755" spans="15:15" ht="13.2">
      <c r="O755" s="12"/>
    </row>
    <row r="756" spans="15:15" ht="13.2">
      <c r="O756" s="12"/>
    </row>
    <row r="757" spans="15:15" ht="13.2">
      <c r="O757" s="12"/>
    </row>
    <row r="758" spans="15:15" ht="13.2">
      <c r="O758" s="12"/>
    </row>
    <row r="759" spans="15:15" ht="13.2">
      <c r="O759" s="12"/>
    </row>
    <row r="760" spans="15:15" ht="13.2">
      <c r="O760" s="12"/>
    </row>
    <row r="761" spans="15:15" ht="13.2">
      <c r="O761" s="12"/>
    </row>
    <row r="762" spans="15:15" ht="13.2">
      <c r="O762" s="12"/>
    </row>
    <row r="763" spans="15:15" ht="13.2">
      <c r="O763" s="12"/>
    </row>
    <row r="764" spans="15:15" ht="13.2">
      <c r="O764" s="12"/>
    </row>
    <row r="765" spans="15:15" ht="13.2">
      <c r="O765" s="12"/>
    </row>
    <row r="766" spans="15:15" ht="13.2">
      <c r="O766" s="12"/>
    </row>
    <row r="767" spans="15:15" ht="13.2">
      <c r="O767" s="12"/>
    </row>
    <row r="768" spans="15:15" ht="13.2">
      <c r="O768" s="12"/>
    </row>
    <row r="769" spans="15:15" ht="13.2">
      <c r="O769" s="12"/>
    </row>
    <row r="770" spans="15:15" ht="13.2">
      <c r="O770" s="12"/>
    </row>
    <row r="771" spans="15:15" ht="13.2">
      <c r="O771" s="12"/>
    </row>
    <row r="772" spans="15:15" ht="13.2">
      <c r="O772" s="12"/>
    </row>
    <row r="773" spans="15:15" ht="13.2">
      <c r="O773" s="12"/>
    </row>
    <row r="774" spans="15:15" ht="13.2">
      <c r="O774" s="12"/>
    </row>
    <row r="775" spans="15:15" ht="13.2">
      <c r="O775" s="12"/>
    </row>
    <row r="776" spans="15:15" ht="13.2">
      <c r="O776" s="12"/>
    </row>
    <row r="777" spans="15:15" ht="13.2">
      <c r="O777" s="12"/>
    </row>
    <row r="778" spans="15:15" ht="13.2">
      <c r="O778" s="12"/>
    </row>
    <row r="779" spans="15:15" ht="13.2">
      <c r="O779" s="12"/>
    </row>
    <row r="780" spans="15:15" ht="13.2">
      <c r="O780" s="12"/>
    </row>
    <row r="781" spans="15:15" ht="13.2">
      <c r="O781" s="12"/>
    </row>
    <row r="782" spans="15:15" ht="13.2">
      <c r="O782" s="12"/>
    </row>
    <row r="783" spans="15:15" ht="13.2">
      <c r="O783" s="12"/>
    </row>
    <row r="784" spans="15:15" ht="13.2">
      <c r="O784" s="12"/>
    </row>
    <row r="785" spans="15:15" ht="13.2">
      <c r="O785" s="12"/>
    </row>
    <row r="786" spans="15:15" ht="13.2">
      <c r="O786" s="12"/>
    </row>
    <row r="787" spans="15:15" ht="13.2">
      <c r="O787" s="12"/>
    </row>
    <row r="788" spans="15:15" ht="13.2">
      <c r="O788" s="12"/>
    </row>
    <row r="789" spans="15:15" ht="13.2">
      <c r="O789" s="12"/>
    </row>
    <row r="790" spans="15:15" ht="13.2">
      <c r="O790" s="12"/>
    </row>
    <row r="791" spans="15:15" ht="13.2">
      <c r="O791" s="12"/>
    </row>
    <row r="792" spans="15:15" ht="13.2">
      <c r="O792" s="12"/>
    </row>
    <row r="793" spans="15:15" ht="13.2">
      <c r="O793" s="12"/>
    </row>
    <row r="794" spans="15:15" ht="13.2">
      <c r="O794" s="12"/>
    </row>
    <row r="795" spans="15:15" ht="13.2">
      <c r="O795" s="12"/>
    </row>
    <row r="796" spans="15:15" ht="13.2">
      <c r="O796" s="12"/>
    </row>
    <row r="797" spans="15:15" ht="13.2">
      <c r="O797" s="12"/>
    </row>
    <row r="798" spans="15:15" ht="13.2">
      <c r="O798" s="12"/>
    </row>
    <row r="799" spans="15:15" ht="13.2">
      <c r="O799" s="12"/>
    </row>
    <row r="800" spans="15:15" ht="13.2">
      <c r="O800" s="12"/>
    </row>
    <row r="801" spans="15:15" ht="13.2">
      <c r="O801" s="12"/>
    </row>
    <row r="802" spans="15:15" ht="13.2">
      <c r="O802" s="12"/>
    </row>
    <row r="803" spans="15:15" ht="13.2">
      <c r="O803" s="12"/>
    </row>
    <row r="804" spans="15:15" ht="13.2">
      <c r="O804" s="12"/>
    </row>
    <row r="805" spans="15:15" ht="13.2">
      <c r="O805" s="12"/>
    </row>
    <row r="806" spans="15:15" ht="13.2">
      <c r="O806" s="12"/>
    </row>
    <row r="807" spans="15:15" ht="13.2">
      <c r="O807" s="12"/>
    </row>
    <row r="808" spans="15:15" ht="13.2">
      <c r="O808" s="12"/>
    </row>
    <row r="809" spans="15:15" ht="13.2">
      <c r="O809" s="12"/>
    </row>
    <row r="810" spans="15:15" ht="13.2">
      <c r="O810" s="12"/>
    </row>
    <row r="811" spans="15:15" ht="13.2">
      <c r="O811" s="12"/>
    </row>
    <row r="812" spans="15:15" ht="13.2">
      <c r="O812" s="12"/>
    </row>
    <row r="813" spans="15:15" ht="13.2">
      <c r="O813" s="12"/>
    </row>
    <row r="814" spans="15:15" ht="13.2">
      <c r="O814" s="12"/>
    </row>
    <row r="815" spans="15:15" ht="13.2">
      <c r="O815" s="12"/>
    </row>
    <row r="816" spans="15:15" ht="13.2">
      <c r="O816" s="12"/>
    </row>
    <row r="817" spans="15:15" ht="13.2">
      <c r="O817" s="12"/>
    </row>
    <row r="818" spans="15:15" ht="13.2">
      <c r="O818" s="12"/>
    </row>
    <row r="819" spans="15:15" ht="13.2">
      <c r="O819" s="12"/>
    </row>
    <row r="820" spans="15:15" ht="13.2">
      <c r="O820" s="12"/>
    </row>
    <row r="821" spans="15:15" ht="13.2">
      <c r="O821" s="12"/>
    </row>
    <row r="822" spans="15:15" ht="13.2">
      <c r="O822" s="12"/>
    </row>
    <row r="823" spans="15:15" ht="13.2">
      <c r="O823" s="12"/>
    </row>
    <row r="824" spans="15:15" ht="13.2">
      <c r="O824" s="12"/>
    </row>
    <row r="825" spans="15:15" ht="13.2">
      <c r="O825" s="12"/>
    </row>
    <row r="826" spans="15:15" ht="13.2">
      <c r="O826" s="12"/>
    </row>
    <row r="827" spans="15:15" ht="13.2">
      <c r="O827" s="12"/>
    </row>
    <row r="828" spans="15:15" ht="13.2">
      <c r="O828" s="12"/>
    </row>
    <row r="829" spans="15:15" ht="13.2">
      <c r="O829" s="12"/>
    </row>
    <row r="830" spans="15:15" ht="13.2">
      <c r="O830" s="12"/>
    </row>
    <row r="831" spans="15:15" ht="13.2">
      <c r="O831" s="12"/>
    </row>
    <row r="832" spans="15:15" ht="13.2">
      <c r="O832" s="12"/>
    </row>
    <row r="833" spans="15:15" ht="13.2">
      <c r="O833" s="12"/>
    </row>
    <row r="834" spans="15:15" ht="13.2">
      <c r="O834" s="12"/>
    </row>
    <row r="835" spans="15:15" ht="13.2">
      <c r="O835" s="12"/>
    </row>
    <row r="836" spans="15:15" ht="13.2">
      <c r="O836" s="12"/>
    </row>
    <row r="837" spans="15:15" ht="13.2">
      <c r="O837" s="12"/>
    </row>
    <row r="838" spans="15:15" ht="13.2">
      <c r="O838" s="12"/>
    </row>
    <row r="839" spans="15:15" ht="13.2">
      <c r="O839" s="12"/>
    </row>
    <row r="840" spans="15:15" ht="13.2">
      <c r="O840" s="12"/>
    </row>
    <row r="841" spans="15:15" ht="13.2">
      <c r="O841" s="12"/>
    </row>
    <row r="842" spans="15:15" ht="13.2">
      <c r="O842" s="12"/>
    </row>
    <row r="843" spans="15:15" ht="13.2">
      <c r="O843" s="12"/>
    </row>
    <row r="844" spans="15:15" ht="13.2">
      <c r="O844" s="12"/>
    </row>
    <row r="845" spans="15:15" ht="13.2">
      <c r="O845" s="12"/>
    </row>
    <row r="846" spans="15:15" ht="13.2">
      <c r="O846" s="12"/>
    </row>
    <row r="847" spans="15:15" ht="13.2">
      <c r="O847" s="12"/>
    </row>
    <row r="848" spans="15:15" ht="13.2">
      <c r="O848" s="12"/>
    </row>
    <row r="849" spans="15:15" ht="13.2">
      <c r="O849" s="12"/>
    </row>
    <row r="850" spans="15:15" ht="13.2">
      <c r="O850" s="12"/>
    </row>
    <row r="851" spans="15:15" ht="13.2">
      <c r="O851" s="12"/>
    </row>
    <row r="852" spans="15:15" ht="13.2">
      <c r="O852" s="12"/>
    </row>
    <row r="853" spans="15:15" ht="13.2">
      <c r="O853" s="12"/>
    </row>
    <row r="854" spans="15:15" ht="13.2">
      <c r="O854" s="12"/>
    </row>
    <row r="855" spans="15:15" ht="13.2">
      <c r="O855" s="12"/>
    </row>
    <row r="856" spans="15:15" ht="13.2">
      <c r="O856" s="12"/>
    </row>
    <row r="857" spans="15:15" ht="13.2">
      <c r="O857" s="12"/>
    </row>
    <row r="858" spans="15:15" ht="13.2">
      <c r="O858" s="12"/>
    </row>
    <row r="859" spans="15:15" ht="13.2">
      <c r="O859" s="12"/>
    </row>
    <row r="860" spans="15:15" ht="13.2">
      <c r="O860" s="12"/>
    </row>
    <row r="861" spans="15:15" ht="13.2">
      <c r="O861" s="12"/>
    </row>
    <row r="862" spans="15:15" ht="13.2">
      <c r="O862" s="12"/>
    </row>
    <row r="863" spans="15:15" ht="13.2">
      <c r="O863" s="12"/>
    </row>
    <row r="864" spans="15:15" ht="13.2">
      <c r="O864" s="12"/>
    </row>
    <row r="865" spans="15:15" ht="13.2">
      <c r="O865" s="12"/>
    </row>
    <row r="866" spans="15:15" ht="13.2">
      <c r="O866" s="12"/>
    </row>
    <row r="867" spans="15:15" ht="13.2">
      <c r="O867" s="12"/>
    </row>
    <row r="868" spans="15:15" ht="13.2">
      <c r="O868" s="12"/>
    </row>
    <row r="869" spans="15:15" ht="13.2">
      <c r="O869" s="12"/>
    </row>
    <row r="870" spans="15:15" ht="13.2">
      <c r="O870" s="12"/>
    </row>
    <row r="871" spans="15:15" ht="13.2">
      <c r="O871" s="12"/>
    </row>
    <row r="872" spans="15:15" ht="13.2">
      <c r="O872" s="12"/>
    </row>
    <row r="873" spans="15:15" ht="13.2">
      <c r="O873" s="12"/>
    </row>
    <row r="874" spans="15:15" ht="13.2">
      <c r="O874" s="12"/>
    </row>
    <row r="875" spans="15:15" ht="13.2">
      <c r="O875" s="12"/>
    </row>
    <row r="876" spans="15:15" ht="13.2">
      <c r="O876" s="12"/>
    </row>
    <row r="877" spans="15:15" ht="13.2">
      <c r="O877" s="12"/>
    </row>
    <row r="878" spans="15:15" ht="13.2">
      <c r="O878" s="12"/>
    </row>
    <row r="879" spans="15:15" ht="13.2">
      <c r="O879" s="12"/>
    </row>
    <row r="880" spans="15:15" ht="13.2">
      <c r="O880" s="12"/>
    </row>
    <row r="881" spans="15:15" ht="13.2">
      <c r="O881" s="12"/>
    </row>
    <row r="882" spans="15:15" ht="13.2">
      <c r="O882" s="12"/>
    </row>
    <row r="883" spans="15:15" ht="13.2">
      <c r="O883" s="12"/>
    </row>
    <row r="884" spans="15:15" ht="13.2">
      <c r="O884" s="12"/>
    </row>
    <row r="885" spans="15:15" ht="13.2">
      <c r="O885" s="12"/>
    </row>
    <row r="886" spans="15:15" ht="13.2">
      <c r="O886" s="12"/>
    </row>
    <row r="887" spans="15:15" ht="13.2">
      <c r="O887" s="12"/>
    </row>
    <row r="888" spans="15:15" ht="13.2">
      <c r="O888" s="12"/>
    </row>
    <row r="889" spans="15:15" ht="13.2">
      <c r="O889" s="12"/>
    </row>
    <row r="890" spans="15:15" ht="13.2">
      <c r="O890" s="12"/>
    </row>
    <row r="891" spans="15:15" ht="13.2">
      <c r="O891" s="12"/>
    </row>
    <row r="892" spans="15:15" ht="13.2">
      <c r="O892" s="12"/>
    </row>
    <row r="893" spans="15:15" ht="13.2">
      <c r="O893" s="12"/>
    </row>
    <row r="894" spans="15:15" ht="13.2">
      <c r="O894" s="12"/>
    </row>
    <row r="895" spans="15:15" ht="13.2">
      <c r="O895" s="12"/>
    </row>
    <row r="896" spans="15:15" ht="13.2">
      <c r="O896" s="12"/>
    </row>
    <row r="897" spans="15:15" ht="13.2">
      <c r="O897" s="12"/>
    </row>
    <row r="898" spans="15:15" ht="13.2">
      <c r="O898" s="12"/>
    </row>
    <row r="899" spans="15:15" ht="13.2">
      <c r="O899" s="12"/>
    </row>
    <row r="900" spans="15:15" ht="13.2">
      <c r="O900" s="12"/>
    </row>
    <row r="901" spans="15:15" ht="13.2">
      <c r="O901" s="12"/>
    </row>
    <row r="902" spans="15:15" ht="13.2">
      <c r="O902" s="12"/>
    </row>
    <row r="903" spans="15:15" ht="13.2">
      <c r="O903" s="12"/>
    </row>
    <row r="904" spans="15:15" ht="13.2">
      <c r="O904" s="12"/>
    </row>
    <row r="905" spans="15:15" ht="13.2">
      <c r="O905" s="12"/>
    </row>
    <row r="906" spans="15:15" ht="13.2">
      <c r="O906" s="12"/>
    </row>
    <row r="907" spans="15:15" ht="13.2">
      <c r="O907" s="12"/>
    </row>
    <row r="908" spans="15:15" ht="13.2">
      <c r="O908" s="12"/>
    </row>
    <row r="909" spans="15:15" ht="13.2">
      <c r="O909" s="12"/>
    </row>
    <row r="910" spans="15:15" ht="13.2">
      <c r="O910" s="12"/>
    </row>
    <row r="911" spans="15:15" ht="13.2">
      <c r="O911" s="12"/>
    </row>
    <row r="912" spans="15:15" ht="13.2">
      <c r="O912" s="12"/>
    </row>
    <row r="913" spans="15:15" ht="13.2">
      <c r="O913" s="12"/>
    </row>
    <row r="914" spans="15:15" ht="13.2">
      <c r="O914" s="12"/>
    </row>
    <row r="915" spans="15:15" ht="13.2">
      <c r="O915" s="12"/>
    </row>
    <row r="916" spans="15:15" ht="13.2">
      <c r="O916" s="12"/>
    </row>
    <row r="917" spans="15:15" ht="13.2">
      <c r="O917" s="12"/>
    </row>
    <row r="918" spans="15:15" ht="13.2">
      <c r="O918" s="12"/>
    </row>
    <row r="919" spans="15:15" ht="13.2">
      <c r="O919" s="12"/>
    </row>
    <row r="920" spans="15:15" ht="13.2">
      <c r="O920" s="12"/>
    </row>
    <row r="921" spans="15:15" ht="13.2">
      <c r="O921" s="12"/>
    </row>
    <row r="922" spans="15:15" ht="13.2">
      <c r="O922" s="12"/>
    </row>
    <row r="923" spans="15:15" ht="13.2">
      <c r="O923" s="12"/>
    </row>
    <row r="924" spans="15:15" ht="13.2">
      <c r="O924" s="12"/>
    </row>
    <row r="925" spans="15:15" ht="13.2">
      <c r="O925" s="12"/>
    </row>
    <row r="926" spans="15:15" ht="13.2">
      <c r="O926" s="12"/>
    </row>
    <row r="927" spans="15:15" ht="13.2">
      <c r="O927" s="12"/>
    </row>
    <row r="928" spans="15:15" ht="13.2">
      <c r="O928" s="12"/>
    </row>
    <row r="929" spans="15:15" ht="13.2">
      <c r="O929" s="12"/>
    </row>
    <row r="930" spans="15:15" ht="13.2">
      <c r="O930" s="12"/>
    </row>
    <row r="931" spans="15:15" ht="13.2">
      <c r="O931" s="12"/>
    </row>
    <row r="932" spans="15:15" ht="13.2">
      <c r="O932" s="12"/>
    </row>
    <row r="933" spans="15:15" ht="13.2">
      <c r="O933" s="12"/>
    </row>
    <row r="934" spans="15:15" ht="13.2">
      <c r="O934" s="12"/>
    </row>
    <row r="935" spans="15:15" ht="13.2">
      <c r="O935" s="12"/>
    </row>
    <row r="936" spans="15:15" ht="13.2">
      <c r="O936" s="12"/>
    </row>
    <row r="937" spans="15:15" ht="13.2">
      <c r="O937" s="12"/>
    </row>
    <row r="938" spans="15:15" ht="13.2">
      <c r="O938" s="12"/>
    </row>
    <row r="939" spans="15:15" ht="13.2">
      <c r="O939" s="12"/>
    </row>
    <row r="940" spans="15:15" ht="13.2">
      <c r="O940" s="12"/>
    </row>
    <row r="941" spans="15:15" ht="13.2">
      <c r="O941" s="12"/>
    </row>
    <row r="942" spans="15:15" ht="13.2">
      <c r="O942" s="12"/>
    </row>
    <row r="943" spans="15:15" ht="13.2">
      <c r="O943" s="12"/>
    </row>
    <row r="944" spans="15:15" ht="13.2">
      <c r="O944" s="12"/>
    </row>
    <row r="945" spans="15:15" ht="13.2">
      <c r="O945" s="12"/>
    </row>
    <row r="946" spans="15:15" ht="13.2">
      <c r="O946" s="12"/>
    </row>
    <row r="947" spans="15:15" ht="13.2">
      <c r="O947" s="12"/>
    </row>
    <row r="948" spans="15:15" ht="13.2">
      <c r="O948" s="12"/>
    </row>
    <row r="949" spans="15:15" ht="13.2">
      <c r="O949" s="12"/>
    </row>
    <row r="950" spans="15:15" ht="13.2">
      <c r="O950" s="12"/>
    </row>
    <row r="951" spans="15:15" ht="13.2">
      <c r="O951" s="12"/>
    </row>
    <row r="952" spans="15:15" ht="13.2">
      <c r="O952" s="12"/>
    </row>
    <row r="953" spans="15:15" ht="13.2">
      <c r="O953" s="12"/>
    </row>
    <row r="954" spans="15:15" ht="13.2">
      <c r="O954" s="12"/>
    </row>
    <row r="955" spans="15:15" ht="13.2">
      <c r="O955" s="12"/>
    </row>
    <row r="956" spans="15:15" ht="13.2">
      <c r="O956" s="12"/>
    </row>
    <row r="957" spans="15:15" ht="13.2">
      <c r="O957" s="12"/>
    </row>
    <row r="958" spans="15:15" ht="13.2">
      <c r="O958" s="12"/>
    </row>
    <row r="959" spans="15:15" ht="13.2">
      <c r="O959" s="12"/>
    </row>
    <row r="960" spans="15:15" ht="13.2">
      <c r="O960" s="12"/>
    </row>
    <row r="961" spans="15:15" ht="13.2">
      <c r="O961" s="12"/>
    </row>
    <row r="962" spans="15:15" ht="13.2">
      <c r="O962" s="12"/>
    </row>
    <row r="963" spans="15:15" ht="13.2">
      <c r="O963" s="12"/>
    </row>
    <row r="964" spans="15:15" ht="13.2">
      <c r="O964" s="12"/>
    </row>
    <row r="965" spans="15:15" ht="13.2">
      <c r="O965" s="12"/>
    </row>
    <row r="966" spans="15:15" ht="13.2">
      <c r="O966" s="12"/>
    </row>
    <row r="967" spans="15:15" ht="13.2">
      <c r="O967" s="12"/>
    </row>
    <row r="968" spans="15:15" ht="13.2">
      <c r="O968" s="12"/>
    </row>
    <row r="969" spans="15:15" ht="13.2">
      <c r="O969" s="12"/>
    </row>
    <row r="970" spans="15:15" ht="13.2">
      <c r="O970" s="12"/>
    </row>
    <row r="971" spans="15:15" ht="13.2">
      <c r="O971" s="12"/>
    </row>
    <row r="972" spans="15:15" ht="13.2">
      <c r="O972" s="12"/>
    </row>
    <row r="973" spans="15:15" ht="13.2">
      <c r="O973" s="12"/>
    </row>
    <row r="974" spans="15:15" ht="13.2">
      <c r="O974" s="12"/>
    </row>
    <row r="975" spans="15:15" ht="13.2">
      <c r="O975" s="12"/>
    </row>
    <row r="976" spans="15:15" ht="13.2">
      <c r="O976" s="12"/>
    </row>
    <row r="977" spans="15:15" ht="13.2">
      <c r="O977" s="12"/>
    </row>
    <row r="978" spans="15:15" ht="13.2">
      <c r="O978" s="12"/>
    </row>
    <row r="979" spans="15:15" ht="13.2">
      <c r="O979" s="12"/>
    </row>
    <row r="980" spans="15:15" ht="13.2">
      <c r="O980" s="12"/>
    </row>
    <row r="981" spans="15:15" ht="13.2">
      <c r="O981" s="12"/>
    </row>
    <row r="982" spans="15:15" ht="13.2">
      <c r="O982" s="12"/>
    </row>
    <row r="983" spans="15:15" ht="13.2">
      <c r="O983" s="12"/>
    </row>
    <row r="984" spans="15:15" ht="13.2">
      <c r="O984" s="12"/>
    </row>
    <row r="985" spans="15:15" ht="13.2">
      <c r="O985" s="12"/>
    </row>
    <row r="986" spans="15:15" ht="13.2">
      <c r="O986" s="12"/>
    </row>
    <row r="987" spans="15:15" ht="13.2">
      <c r="O987" s="12"/>
    </row>
    <row r="988" spans="15:15" ht="13.2">
      <c r="O988" s="12"/>
    </row>
    <row r="989" spans="15:15" ht="13.2">
      <c r="O989" s="12"/>
    </row>
    <row r="990" spans="15:15" ht="13.2">
      <c r="O990" s="12"/>
    </row>
    <row r="991" spans="15:15" ht="13.2">
      <c r="O991" s="12"/>
    </row>
    <row r="992" spans="15:15" ht="13.2">
      <c r="O992" s="12"/>
    </row>
    <row r="993" spans="15:15" ht="13.2">
      <c r="O993" s="12"/>
    </row>
    <row r="994" spans="15:15" ht="13.2">
      <c r="O994" s="12"/>
    </row>
    <row r="995" spans="15:15" ht="13.2">
      <c r="O995" s="12"/>
    </row>
    <row r="996" spans="15:15" ht="13.2">
      <c r="O996" s="12"/>
    </row>
    <row r="997" spans="15:15" ht="13.2">
      <c r="O997" s="12"/>
    </row>
    <row r="998" spans="15:15" ht="13.2">
      <c r="O998" s="12"/>
    </row>
    <row r="999" spans="15:15" ht="13.2">
      <c r="O999" s="12"/>
    </row>
    <row r="1000" spans="15:15" ht="13.2">
      <c r="O1000" s="12"/>
    </row>
  </sheetData>
  <customSheetViews>
    <customSheetView guid="{FB64EC76-01D8-451C-A3A9-A3C35007152B}" filter="1" showAutoFilter="1">
      <pageMargins left="0.7" right="0.7" top="0.75" bottom="0.75" header="0.3" footer="0.3"/>
      <autoFilter ref="A1:Q1000" xr:uid="{00000000-0000-0000-0000-000000000000}"/>
    </customSheetView>
  </customSheetViews>
  <mergeCells count="2">
    <mergeCell ref="E172:G172"/>
    <mergeCell ref="E173:G173"/>
  </mergeCells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12"/>
  <sheetViews>
    <sheetView workbookViewId="0"/>
  </sheetViews>
  <sheetFormatPr defaultColWidth="14.44140625" defaultRowHeight="15.75" customHeight="1"/>
  <cols>
    <col min="4" max="4" width="56.44140625" customWidth="1"/>
    <col min="15" max="15" width="21.88671875" customWidth="1"/>
    <col min="16" max="16" width="19.109375" customWidth="1"/>
    <col min="18" max="18" width="31" customWidth="1"/>
    <col min="19" max="20" width="21.33203125" customWidth="1"/>
  </cols>
  <sheetData>
    <row r="1" spans="1:20" ht="15.7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5" t="s">
        <v>17</v>
      </c>
      <c r="N1" s="13" t="s">
        <v>18</v>
      </c>
      <c r="O1" s="14" t="s">
        <v>19</v>
      </c>
      <c r="P1" s="14" t="s">
        <v>20</v>
      </c>
      <c r="Q1" s="13" t="s">
        <v>21</v>
      </c>
      <c r="R1" s="13" t="s">
        <v>22</v>
      </c>
      <c r="S1" s="15" t="s">
        <v>23</v>
      </c>
      <c r="T1" s="15" t="s">
        <v>24</v>
      </c>
    </row>
    <row r="2" spans="1:20" ht="15.75" customHeight="1">
      <c r="A2" s="6"/>
      <c r="B2" s="6"/>
      <c r="C2" s="6"/>
      <c r="D2" s="6"/>
      <c r="E2" s="6"/>
      <c r="F2" s="7"/>
      <c r="G2" s="6"/>
      <c r="H2" s="8"/>
      <c r="I2" s="8"/>
      <c r="J2" s="7"/>
      <c r="K2" s="7"/>
      <c r="L2" s="7"/>
      <c r="M2" s="6"/>
      <c r="N2" s="10"/>
      <c r="O2" s="16" t="str">
        <f>IF(ISERROR(VLOOKUP(LEFT(P2,1),Master!$B$2:$C$4,2,FALSE)),"",VLOOKUP(LEFT(P2,1),Master!$B$2:$C$4,2,FALSE))</f>
        <v/>
      </c>
      <c r="P2" s="17"/>
      <c r="Q2" s="16"/>
      <c r="R2" s="16"/>
      <c r="S2" s="16"/>
      <c r="T2" s="16"/>
    </row>
    <row r="3" spans="1:20" ht="15.75" customHeight="1">
      <c r="A3" s="6"/>
      <c r="B3" s="6"/>
      <c r="C3" s="6"/>
      <c r="D3" s="6"/>
      <c r="E3" s="6"/>
      <c r="F3" s="7"/>
      <c r="G3" s="6"/>
      <c r="H3" s="8"/>
      <c r="I3" s="8"/>
      <c r="J3" s="7"/>
      <c r="K3" s="7"/>
      <c r="L3" s="7"/>
      <c r="M3" s="6"/>
      <c r="N3" s="10"/>
      <c r="O3" s="16" t="str">
        <f>IF(ISERROR(VLOOKUP(LEFT(P3,1),Master!$B$2:$C$4,2,FALSE)),"",VLOOKUP(LEFT(P3,1),Master!$B$2:$C$4,2,FALSE))</f>
        <v/>
      </c>
      <c r="P3" s="17"/>
      <c r="Q3" s="16"/>
      <c r="R3" s="16"/>
      <c r="S3" s="16"/>
      <c r="T3" s="16"/>
    </row>
    <row r="4" spans="1:20" ht="15.75" customHeight="1">
      <c r="A4" s="6"/>
      <c r="B4" s="6"/>
      <c r="C4" s="6"/>
      <c r="D4" s="6"/>
      <c r="E4" s="6"/>
      <c r="F4" s="7"/>
      <c r="G4" s="8"/>
      <c r="H4" s="6"/>
      <c r="I4" s="6"/>
      <c r="J4" s="7"/>
      <c r="K4" s="7"/>
      <c r="L4" s="7"/>
      <c r="M4" s="6"/>
      <c r="N4" s="10"/>
      <c r="O4" s="16" t="str">
        <f>IF(ISERROR(VLOOKUP(LEFT(P4,1),Master!$B$2:$C$4,2,FALSE)),"",VLOOKUP(LEFT(P4,1),Master!$B$2:$C$4,2,FALSE))</f>
        <v/>
      </c>
      <c r="P4" s="17"/>
      <c r="Q4" s="16"/>
      <c r="R4" s="16"/>
      <c r="S4" s="16"/>
      <c r="T4" s="16"/>
    </row>
    <row r="5" spans="1:20" ht="15.75" customHeight="1">
      <c r="A5" s="6"/>
      <c r="B5" s="6"/>
      <c r="C5" s="6"/>
      <c r="D5" s="6"/>
      <c r="E5" s="6"/>
      <c r="F5" s="7"/>
      <c r="G5" s="8"/>
      <c r="H5" s="6"/>
      <c r="I5" s="6"/>
      <c r="J5" s="7"/>
      <c r="K5" s="7"/>
      <c r="L5" s="7"/>
      <c r="M5" s="6"/>
      <c r="N5" s="10"/>
      <c r="O5" s="16" t="str">
        <f>IF(ISERROR(VLOOKUP(LEFT(P5,1),Master!$B$2:$C$4,2,FALSE)),"",VLOOKUP(LEFT(P5,1),Master!$B$2:$C$4,2,FALSE))</f>
        <v/>
      </c>
      <c r="P5" s="17"/>
      <c r="Q5" s="16"/>
      <c r="R5" s="16"/>
      <c r="S5" s="16"/>
      <c r="T5" s="16"/>
    </row>
    <row r="6" spans="1:20" ht="15.75" customHeight="1">
      <c r="A6" s="6"/>
      <c r="B6" s="6"/>
      <c r="C6" s="6"/>
      <c r="D6" s="6"/>
      <c r="E6" s="6"/>
      <c r="F6" s="7"/>
      <c r="G6" s="8"/>
      <c r="H6" s="6"/>
      <c r="I6" s="6"/>
      <c r="J6" s="7"/>
      <c r="K6" s="7"/>
      <c r="L6" s="7"/>
      <c r="M6" s="6"/>
      <c r="N6" s="10"/>
      <c r="O6" s="16" t="str">
        <f>IF(ISERROR(VLOOKUP(LEFT(P6,1),Master!$B$2:$C$4,2,FALSE)),"",VLOOKUP(LEFT(P6,1),Master!$B$2:$C$4,2,FALSE))</f>
        <v/>
      </c>
      <c r="P6" s="17"/>
      <c r="Q6" s="16"/>
      <c r="R6" s="16"/>
      <c r="S6" s="16"/>
      <c r="T6" s="16"/>
    </row>
    <row r="7" spans="1:20" ht="15.75" customHeight="1">
      <c r="A7" s="6"/>
      <c r="B7" s="6"/>
      <c r="C7" s="6"/>
      <c r="D7" s="6"/>
      <c r="E7" s="6"/>
      <c r="F7" s="7"/>
      <c r="G7" s="8"/>
      <c r="H7" s="6"/>
      <c r="I7" s="6"/>
      <c r="J7" s="7"/>
      <c r="K7" s="7"/>
      <c r="L7" s="7"/>
      <c r="M7" s="6"/>
      <c r="N7" s="10"/>
      <c r="O7" s="16" t="str">
        <f>IF(ISERROR(VLOOKUP(LEFT(P7,1),Master!$B$2:$C$4,2,FALSE)),"",VLOOKUP(LEFT(P7,1),Master!$B$2:$C$4,2,FALSE))</f>
        <v/>
      </c>
      <c r="P7" s="17"/>
      <c r="Q7" s="16"/>
      <c r="R7" s="16"/>
      <c r="S7" s="16"/>
      <c r="T7" s="16"/>
    </row>
    <row r="8" spans="1:20" ht="15.75" customHeight="1">
      <c r="A8" s="6"/>
      <c r="B8" s="6"/>
      <c r="C8" s="6"/>
      <c r="D8" s="6"/>
      <c r="E8" s="6"/>
      <c r="F8" s="7"/>
      <c r="G8" s="8"/>
      <c r="H8" s="6"/>
      <c r="I8" s="6"/>
      <c r="J8" s="7"/>
      <c r="K8" s="7"/>
      <c r="L8" s="7"/>
      <c r="M8" s="6"/>
      <c r="N8" s="10"/>
      <c r="O8" s="16" t="str">
        <f>IF(ISERROR(VLOOKUP(LEFT(P8,1),Master!$B$2:$C$4,2,FALSE)),"",VLOOKUP(LEFT(P8,1),Master!$B$2:$C$4,2,FALSE))</f>
        <v/>
      </c>
      <c r="P8" s="17"/>
      <c r="Q8" s="16"/>
      <c r="R8" s="16"/>
      <c r="S8" s="16"/>
      <c r="T8" s="16"/>
    </row>
    <row r="9" spans="1:20" ht="15.75" customHeight="1">
      <c r="A9" s="6"/>
      <c r="B9" s="6"/>
      <c r="C9" s="6"/>
      <c r="D9" s="6"/>
      <c r="E9" s="6"/>
      <c r="F9" s="7"/>
      <c r="G9" s="8"/>
      <c r="H9" s="6"/>
      <c r="I9" s="6"/>
      <c r="J9" s="7"/>
      <c r="K9" s="7"/>
      <c r="L9" s="7"/>
      <c r="M9" s="6"/>
      <c r="N9" s="10"/>
      <c r="O9" s="16" t="str">
        <f>IF(ISERROR(VLOOKUP(LEFT(P9,1),Master!$B$2:$C$4,2,FALSE)),"",VLOOKUP(LEFT(P9,1),Master!$B$2:$C$4,2,FALSE))</f>
        <v/>
      </c>
      <c r="P9" s="17"/>
      <c r="Q9" s="16"/>
      <c r="R9" s="16"/>
      <c r="S9" s="16"/>
      <c r="T9" s="16"/>
    </row>
    <row r="10" spans="1:20" ht="15.75" customHeight="1">
      <c r="A10" s="6"/>
      <c r="B10" s="6"/>
      <c r="C10" s="6"/>
      <c r="D10" s="6"/>
      <c r="E10" s="6"/>
      <c r="F10" s="7"/>
      <c r="G10" s="8"/>
      <c r="H10" s="8"/>
      <c r="I10" s="8"/>
      <c r="J10" s="7"/>
      <c r="K10" s="7"/>
      <c r="L10" s="7"/>
      <c r="M10" s="6"/>
      <c r="N10" s="10"/>
      <c r="O10" s="16" t="str">
        <f>IF(ISERROR(VLOOKUP(LEFT(P10,1),Master!$B$2:$C$4,2,FALSE)),"",VLOOKUP(LEFT(P10,1),Master!$B$2:$C$4,2,FALSE))</f>
        <v/>
      </c>
      <c r="P10" s="17"/>
      <c r="Q10" s="16"/>
      <c r="R10" s="16"/>
      <c r="S10" s="16"/>
      <c r="T10" s="16"/>
    </row>
    <row r="11" spans="1:20" ht="15.75" customHeight="1">
      <c r="A11" s="6"/>
      <c r="B11" s="6"/>
      <c r="C11" s="6"/>
      <c r="D11" s="6"/>
      <c r="E11" s="6"/>
      <c r="F11" s="7"/>
      <c r="G11" s="8"/>
      <c r="H11" s="8"/>
      <c r="I11" s="8"/>
      <c r="J11" s="7"/>
      <c r="K11" s="7"/>
      <c r="L11" s="7"/>
      <c r="M11" s="6"/>
      <c r="N11" s="10"/>
      <c r="O11" s="16" t="str">
        <f>IF(ISERROR(VLOOKUP(LEFT(P11,1),Master!$B$2:$C$4,2,FALSE)),"",VLOOKUP(LEFT(P11,1),Master!$B$2:$C$4,2,FALSE))</f>
        <v/>
      </c>
      <c r="P11" s="17"/>
      <c r="Q11" s="16"/>
      <c r="R11" s="16"/>
      <c r="S11" s="16"/>
      <c r="T11" s="16"/>
    </row>
    <row r="12" spans="1:20" ht="15.75" customHeight="1">
      <c r="A12" s="6"/>
      <c r="B12" s="6"/>
      <c r="C12" s="6"/>
      <c r="D12" s="6"/>
      <c r="E12" s="6"/>
      <c r="F12" s="7"/>
      <c r="G12" s="6"/>
      <c r="H12" s="8"/>
      <c r="I12" s="8"/>
      <c r="J12" s="7"/>
      <c r="K12" s="7"/>
      <c r="L12" s="7"/>
      <c r="M12" s="6"/>
      <c r="N12" s="10"/>
      <c r="O12" s="16" t="str">
        <f>IF(ISERROR(VLOOKUP(LEFT(P12,1),Master!$B$2:$C$4,2,FALSE)),"",VLOOKUP(LEFT(P12,1),Master!$B$2:$C$4,2,FALSE))</f>
        <v/>
      </c>
      <c r="P12" s="17"/>
      <c r="Q12" s="16"/>
      <c r="R12" s="16"/>
      <c r="S12" s="16"/>
      <c r="T12" s="16"/>
    </row>
    <row r="13" spans="1:20" ht="15.75" customHeight="1">
      <c r="A13" s="6"/>
      <c r="B13" s="6"/>
      <c r="C13" s="6"/>
      <c r="D13" s="6"/>
      <c r="E13" s="6"/>
      <c r="F13" s="7"/>
      <c r="G13" s="8"/>
      <c r="H13" s="6"/>
      <c r="I13" s="6"/>
      <c r="J13" s="7"/>
      <c r="K13" s="7"/>
      <c r="L13" s="7"/>
      <c r="M13" s="6"/>
      <c r="N13" s="10"/>
      <c r="O13" s="16" t="str">
        <f>IF(ISERROR(VLOOKUP(LEFT(P13,1),Master!$B$2:$C$4,2,FALSE)),"",VLOOKUP(LEFT(P13,1),Master!$B$2:$C$4,2,FALSE))</f>
        <v/>
      </c>
      <c r="P13" s="17"/>
      <c r="Q13" s="16"/>
      <c r="R13" s="16"/>
      <c r="S13" s="16"/>
      <c r="T13" s="16"/>
    </row>
    <row r="14" spans="1:20" ht="15.75" customHeight="1">
      <c r="A14" s="6"/>
      <c r="B14" s="6"/>
      <c r="C14" s="6"/>
      <c r="D14" s="6"/>
      <c r="E14" s="6"/>
      <c r="F14" s="7"/>
      <c r="G14" s="8"/>
      <c r="H14" s="6"/>
      <c r="I14" s="6"/>
      <c r="J14" s="7"/>
      <c r="K14" s="7"/>
      <c r="L14" s="7"/>
      <c r="M14" s="6"/>
      <c r="N14" s="10"/>
      <c r="O14" s="16" t="str">
        <f>IF(ISERROR(VLOOKUP(LEFT(P14,1),Master!$B$2:$C$4,2,FALSE)),"",VLOOKUP(LEFT(P14,1),Master!$B$2:$C$4,2,FALSE))</f>
        <v/>
      </c>
      <c r="P14" s="17"/>
      <c r="Q14" s="16"/>
      <c r="R14" s="16"/>
      <c r="S14" s="16"/>
      <c r="T14" s="16"/>
    </row>
    <row r="15" spans="1:20" ht="15.75" customHeight="1">
      <c r="A15" s="6"/>
      <c r="B15" s="8"/>
      <c r="C15" s="6"/>
      <c r="D15" s="6"/>
      <c r="E15" s="6"/>
      <c r="F15" s="7"/>
      <c r="G15" s="6"/>
      <c r="H15" s="8"/>
      <c r="I15" s="8"/>
      <c r="J15" s="7"/>
      <c r="K15" s="7"/>
      <c r="L15" s="7"/>
      <c r="M15" s="6"/>
      <c r="N15" s="10"/>
      <c r="O15" s="16" t="str">
        <f>IF(ISERROR(VLOOKUP(LEFT(P15,1),Master!$B$2:$C$4,2,FALSE)),"",VLOOKUP(LEFT(P15,1),Master!$B$2:$C$4,2,FALSE))</f>
        <v/>
      </c>
      <c r="P15" s="16"/>
      <c r="Q15" s="16"/>
      <c r="R15" s="16"/>
      <c r="S15" s="16"/>
      <c r="T15" s="16"/>
    </row>
    <row r="16" spans="1:20" ht="15.75" customHeight="1">
      <c r="A16" s="6"/>
      <c r="B16" s="6"/>
      <c r="C16" s="6"/>
      <c r="D16" s="6"/>
      <c r="E16" s="6"/>
      <c r="F16" s="7"/>
      <c r="G16" s="6"/>
      <c r="H16" s="8"/>
      <c r="I16" s="6"/>
      <c r="J16" s="7"/>
      <c r="K16" s="7"/>
      <c r="L16" s="7"/>
      <c r="M16" s="6"/>
      <c r="N16" s="10"/>
      <c r="O16" s="16" t="str">
        <f>IF(ISERROR(VLOOKUP(LEFT(P16,1),Master!$B$2:$C$4,2,FALSE)),"",VLOOKUP(LEFT(P16,1),Master!$B$2:$C$4,2,FALSE))</f>
        <v/>
      </c>
      <c r="P16" s="16"/>
      <c r="Q16" s="16"/>
      <c r="R16" s="16"/>
      <c r="S16" s="16"/>
      <c r="T16" s="16"/>
    </row>
    <row r="17" spans="1:20" ht="15.75" customHeight="1">
      <c r="A17" s="6"/>
      <c r="B17" s="6"/>
      <c r="C17" s="6"/>
      <c r="D17" s="6"/>
      <c r="E17" s="6"/>
      <c r="F17" s="7"/>
      <c r="G17" s="8"/>
      <c r="H17" s="6"/>
      <c r="I17" s="6"/>
      <c r="J17" s="7"/>
      <c r="K17" s="7"/>
      <c r="L17" s="7"/>
      <c r="M17" s="6"/>
      <c r="N17" s="10"/>
      <c r="O17" s="16" t="str">
        <f>IF(ISERROR(VLOOKUP(LEFT(P17,1),Master!$B$2:$C$4,2,FALSE)),"",VLOOKUP(LEFT(P17,1),Master!$B$2:$C$4,2,FALSE))</f>
        <v/>
      </c>
      <c r="P17" s="16"/>
      <c r="Q17" s="16"/>
      <c r="R17" s="16"/>
      <c r="S17" s="16"/>
      <c r="T17" s="16"/>
    </row>
    <row r="18" spans="1:20" ht="15.75" customHeight="1">
      <c r="A18" s="6"/>
      <c r="B18" s="6"/>
      <c r="C18" s="6"/>
      <c r="D18" s="6"/>
      <c r="E18" s="6"/>
      <c r="F18" s="7"/>
      <c r="G18" s="8"/>
      <c r="H18" s="6"/>
      <c r="I18" s="6"/>
      <c r="J18" s="7"/>
      <c r="K18" s="7"/>
      <c r="L18" s="7"/>
      <c r="M18" s="6"/>
      <c r="N18" s="10"/>
      <c r="O18" s="16" t="str">
        <f>IF(ISERROR(VLOOKUP(LEFT(P18,1),Master!$B$2:$C$4,2,FALSE)),"",VLOOKUP(LEFT(P18,1),Master!$B$2:$C$4,2,FALSE))</f>
        <v/>
      </c>
      <c r="P18" s="16"/>
      <c r="Q18" s="16"/>
      <c r="R18" s="16"/>
      <c r="S18" s="16"/>
      <c r="T18" s="16"/>
    </row>
    <row r="19" spans="1:20" ht="15.75" customHeight="1">
      <c r="A19" s="6"/>
      <c r="B19" s="6"/>
      <c r="C19" s="6"/>
      <c r="D19" s="6"/>
      <c r="E19" s="6"/>
      <c r="F19" s="7"/>
      <c r="G19" s="6"/>
      <c r="H19" s="8"/>
      <c r="I19" s="6"/>
      <c r="J19" s="7"/>
      <c r="K19" s="7"/>
      <c r="L19" s="7"/>
      <c r="M19" s="6"/>
      <c r="N19" s="10"/>
      <c r="O19" s="16" t="str">
        <f>IF(ISERROR(VLOOKUP(LEFT(P19,1),Master!$B$2:$C$4,2,FALSE)),"",VLOOKUP(LEFT(P19,1),Master!$B$2:$C$4,2,FALSE))</f>
        <v/>
      </c>
      <c r="P19" s="16"/>
      <c r="Q19" s="16"/>
      <c r="R19" s="16"/>
      <c r="S19" s="16"/>
      <c r="T19" s="16"/>
    </row>
    <row r="20" spans="1:20" ht="15.75" customHeight="1">
      <c r="A20" s="6"/>
      <c r="B20" s="6"/>
      <c r="C20" s="6"/>
      <c r="D20" s="6"/>
      <c r="E20" s="6"/>
      <c r="F20" s="7"/>
      <c r="G20" s="6"/>
      <c r="H20" s="8"/>
      <c r="I20" s="6"/>
      <c r="J20" s="7"/>
      <c r="K20" s="7"/>
      <c r="L20" s="7"/>
      <c r="M20" s="6"/>
      <c r="N20" s="10"/>
      <c r="O20" s="16" t="str">
        <f>IF(ISERROR(VLOOKUP(LEFT(P20,1),Master!$B$2:$C$4,2,FALSE)),"",VLOOKUP(LEFT(P20,1),Master!$B$2:$C$4,2,FALSE))</f>
        <v/>
      </c>
      <c r="P20" s="16"/>
      <c r="Q20" s="16"/>
      <c r="R20" s="16"/>
      <c r="S20" s="16"/>
      <c r="T20" s="16"/>
    </row>
    <row r="21" spans="1:20" ht="15.75" customHeight="1">
      <c r="A21" s="6"/>
      <c r="B21" s="6"/>
      <c r="C21" s="6"/>
      <c r="D21" s="6"/>
      <c r="E21" s="6"/>
      <c r="F21" s="7"/>
      <c r="G21" s="6"/>
      <c r="H21" s="8"/>
      <c r="I21" s="6"/>
      <c r="J21" s="7"/>
      <c r="K21" s="7"/>
      <c r="L21" s="7"/>
      <c r="M21" s="6"/>
      <c r="N21" s="10"/>
      <c r="O21" s="16" t="str">
        <f>IF(ISERROR(VLOOKUP(LEFT(P21,1),Master!$B$2:$C$4,2,FALSE)),"",VLOOKUP(LEFT(P21,1),Master!$B$2:$C$4,2,FALSE))</f>
        <v/>
      </c>
      <c r="P21" s="16"/>
      <c r="Q21" s="16"/>
      <c r="R21" s="16"/>
      <c r="S21" s="16"/>
      <c r="T21" s="16"/>
    </row>
    <row r="22" spans="1:20" ht="15.75" customHeight="1">
      <c r="A22" s="6"/>
      <c r="B22" s="6"/>
      <c r="C22" s="6"/>
      <c r="D22" s="6"/>
      <c r="E22" s="6"/>
      <c r="F22" s="7"/>
      <c r="G22" s="6"/>
      <c r="H22" s="8"/>
      <c r="I22" s="6"/>
      <c r="J22" s="7"/>
      <c r="K22" s="7"/>
      <c r="L22" s="7"/>
      <c r="M22" s="6"/>
      <c r="N22" s="10"/>
      <c r="O22" s="16" t="str">
        <f>IF(ISERROR(VLOOKUP(LEFT(P22,1),Master!$B$2:$C$4,2,FALSE)),"",VLOOKUP(LEFT(P22,1),Master!$B$2:$C$4,2,FALSE))</f>
        <v/>
      </c>
      <c r="P22" s="16"/>
      <c r="Q22" s="16"/>
      <c r="R22" s="16"/>
      <c r="S22" s="16"/>
      <c r="T22" s="16"/>
    </row>
    <row r="23" spans="1:20" ht="15.75" customHeight="1">
      <c r="A23" s="6"/>
      <c r="B23" s="6"/>
      <c r="C23" s="6"/>
      <c r="D23" s="6"/>
      <c r="E23" s="6"/>
      <c r="F23" s="7"/>
      <c r="G23" s="6"/>
      <c r="H23" s="8"/>
      <c r="I23" s="6"/>
      <c r="J23" s="7"/>
      <c r="K23" s="7"/>
      <c r="L23" s="7"/>
      <c r="M23" s="6"/>
      <c r="N23" s="10"/>
      <c r="O23" s="16" t="str">
        <f>IF(ISERROR(VLOOKUP(LEFT(P23,1),Master!$B$2:$C$4,2,FALSE)),"",VLOOKUP(LEFT(P23,1),Master!$B$2:$C$4,2,FALSE))</f>
        <v/>
      </c>
      <c r="P23" s="16"/>
      <c r="Q23" s="16"/>
      <c r="R23" s="16"/>
      <c r="S23" s="16"/>
      <c r="T23" s="16"/>
    </row>
    <row r="24" spans="1:20" ht="15.75" customHeight="1">
      <c r="A24" s="6"/>
      <c r="B24" s="6"/>
      <c r="C24" s="6"/>
      <c r="D24" s="6"/>
      <c r="E24" s="6"/>
      <c r="F24" s="7"/>
      <c r="G24" s="6"/>
      <c r="H24" s="8"/>
      <c r="I24" s="6"/>
      <c r="J24" s="7"/>
      <c r="K24" s="7"/>
      <c r="L24" s="7"/>
      <c r="M24" s="6"/>
      <c r="N24" s="10"/>
      <c r="O24" s="16" t="str">
        <f>IF(ISERROR(VLOOKUP(LEFT(P24,1),Master!$B$2:$C$4,2,FALSE)),"",VLOOKUP(LEFT(P24,1),Master!$B$2:$C$4,2,FALSE))</f>
        <v/>
      </c>
      <c r="P24" s="16"/>
      <c r="Q24" s="16"/>
      <c r="R24" s="16"/>
      <c r="S24" s="16"/>
      <c r="T24" s="16"/>
    </row>
    <row r="25" spans="1:20" ht="15.75" customHeight="1">
      <c r="A25" s="6"/>
      <c r="B25" s="6"/>
      <c r="C25" s="6"/>
      <c r="D25" s="6"/>
      <c r="E25" s="6"/>
      <c r="F25" s="7"/>
      <c r="G25" s="6"/>
      <c r="H25" s="8"/>
      <c r="I25" s="6"/>
      <c r="J25" s="7"/>
      <c r="K25" s="7"/>
      <c r="L25" s="7"/>
      <c r="M25" s="6"/>
      <c r="N25" s="10"/>
      <c r="O25" s="16" t="str">
        <f>IF(ISERROR(VLOOKUP(LEFT(P25,1),Master!$B$2:$C$4,2,FALSE)),"",VLOOKUP(LEFT(P25,1),Master!$B$2:$C$4,2,FALSE))</f>
        <v/>
      </c>
      <c r="P25" s="16"/>
      <c r="Q25" s="16"/>
      <c r="R25" s="16"/>
      <c r="S25" s="16"/>
      <c r="T25" s="16"/>
    </row>
    <row r="26" spans="1:20" ht="15.75" customHeight="1">
      <c r="A26" s="6"/>
      <c r="B26" s="6"/>
      <c r="C26" s="6"/>
      <c r="D26" s="6"/>
      <c r="E26" s="6"/>
      <c r="F26" s="7"/>
      <c r="G26" s="6"/>
      <c r="H26" s="8"/>
      <c r="I26" s="6"/>
      <c r="J26" s="7"/>
      <c r="K26" s="7"/>
      <c r="L26" s="7"/>
      <c r="M26" s="6"/>
      <c r="N26" s="10"/>
      <c r="O26" s="16" t="str">
        <f>IF(ISERROR(VLOOKUP(LEFT(P26,1),Master!$B$2:$C$4,2,FALSE)),"",VLOOKUP(LEFT(P26,1),Master!$B$2:$C$4,2,FALSE))</f>
        <v/>
      </c>
      <c r="P26" s="16"/>
      <c r="Q26" s="16"/>
      <c r="R26" s="16"/>
      <c r="S26" s="16"/>
      <c r="T26" s="16"/>
    </row>
    <row r="27" spans="1:20" ht="15.75" customHeight="1">
      <c r="A27" s="6"/>
      <c r="B27" s="6"/>
      <c r="C27" s="6"/>
      <c r="D27" s="6"/>
      <c r="E27" s="6"/>
      <c r="F27" s="7"/>
      <c r="G27" s="6"/>
      <c r="H27" s="8"/>
      <c r="I27" s="6"/>
      <c r="J27" s="7"/>
      <c r="K27" s="7"/>
      <c r="L27" s="7"/>
      <c r="M27" s="6"/>
      <c r="N27" s="10"/>
      <c r="O27" s="16" t="str">
        <f>IF(ISERROR(VLOOKUP(LEFT(P27,1),Master!$B$2:$C$4,2,FALSE)),"",VLOOKUP(LEFT(P27,1),Master!$B$2:$C$4,2,FALSE))</f>
        <v/>
      </c>
      <c r="P27" s="16"/>
      <c r="Q27" s="16"/>
      <c r="R27" s="16"/>
      <c r="S27" s="16"/>
      <c r="T27" s="16"/>
    </row>
    <row r="28" spans="1:20" ht="15.75" customHeight="1">
      <c r="A28" s="6"/>
      <c r="B28" s="6"/>
      <c r="C28" s="6"/>
      <c r="D28" s="6"/>
      <c r="E28" s="6"/>
      <c r="F28" s="7"/>
      <c r="G28" s="6"/>
      <c r="H28" s="8"/>
      <c r="I28" s="6"/>
      <c r="J28" s="7"/>
      <c r="K28" s="7"/>
      <c r="L28" s="7"/>
      <c r="M28" s="6"/>
      <c r="N28" s="10"/>
      <c r="O28" s="16" t="str">
        <f>IF(ISERROR(VLOOKUP(LEFT(P28,1),Master!$B$2:$C$4,2,FALSE)),"",VLOOKUP(LEFT(P28,1),Master!$B$2:$C$4,2,FALSE))</f>
        <v/>
      </c>
      <c r="P28" s="16"/>
      <c r="Q28" s="16"/>
      <c r="R28" s="16"/>
      <c r="S28" s="16"/>
      <c r="T28" s="16"/>
    </row>
    <row r="29" spans="1:20" ht="15.75" customHeight="1">
      <c r="A29" s="6"/>
      <c r="B29" s="6"/>
      <c r="C29" s="6"/>
      <c r="D29" s="6"/>
      <c r="E29" s="6"/>
      <c r="F29" s="7"/>
      <c r="G29" s="6"/>
      <c r="H29" s="8"/>
      <c r="I29" s="6"/>
      <c r="J29" s="7"/>
      <c r="K29" s="7"/>
      <c r="L29" s="7"/>
      <c r="M29" s="6"/>
      <c r="N29" s="10"/>
      <c r="O29" s="16" t="str">
        <f>IF(ISERROR(VLOOKUP(LEFT(P29,1),Master!$B$2:$C$4,2,FALSE)),"",VLOOKUP(LEFT(P29,1),Master!$B$2:$C$4,2,FALSE))</f>
        <v/>
      </c>
      <c r="P29" s="16"/>
      <c r="Q29" s="16"/>
      <c r="R29" s="16"/>
      <c r="S29" s="16"/>
      <c r="T29" s="16"/>
    </row>
    <row r="30" spans="1:20" ht="15.75" customHeight="1">
      <c r="A30" s="6"/>
      <c r="B30" s="6"/>
      <c r="C30" s="6"/>
      <c r="D30" s="6"/>
      <c r="E30" s="6"/>
      <c r="F30" s="7"/>
      <c r="G30" s="6"/>
      <c r="H30" s="8"/>
      <c r="I30" s="6"/>
      <c r="J30" s="7"/>
      <c r="K30" s="7"/>
      <c r="L30" s="7"/>
      <c r="M30" s="6"/>
      <c r="N30" s="10"/>
      <c r="O30" s="16" t="str">
        <f>IF(ISERROR(VLOOKUP(LEFT(P30,1),Master!$B$2:$C$4,2,FALSE)),"",VLOOKUP(LEFT(P30,1),Master!$B$2:$C$4,2,FALSE))</f>
        <v/>
      </c>
      <c r="P30" s="16"/>
      <c r="Q30" s="16"/>
      <c r="R30" s="16"/>
      <c r="S30" s="16"/>
      <c r="T30" s="16"/>
    </row>
    <row r="31" spans="1:20" ht="15.75" customHeight="1">
      <c r="A31" s="6"/>
      <c r="B31" s="6"/>
      <c r="C31" s="6"/>
      <c r="D31" s="6"/>
      <c r="E31" s="6"/>
      <c r="F31" s="7"/>
      <c r="G31" s="6"/>
      <c r="H31" s="8"/>
      <c r="I31" s="6"/>
      <c r="J31" s="7"/>
      <c r="K31" s="7"/>
      <c r="L31" s="7"/>
      <c r="M31" s="6"/>
      <c r="N31" s="10"/>
      <c r="O31" s="16" t="str">
        <f>IF(ISERROR(VLOOKUP(LEFT(P31,1),Master!$B$2:$C$4,2,FALSE)),"",VLOOKUP(LEFT(P31,1),Master!$B$2:$C$4,2,FALSE))</f>
        <v/>
      </c>
      <c r="P31" s="16"/>
      <c r="Q31" s="16"/>
      <c r="R31" s="16"/>
      <c r="S31" s="16"/>
      <c r="T31" s="16"/>
    </row>
    <row r="32" spans="1:20" ht="15.75" customHeight="1">
      <c r="A32" s="6"/>
      <c r="B32" s="6"/>
      <c r="C32" s="6"/>
      <c r="D32" s="6"/>
      <c r="E32" s="6"/>
      <c r="F32" s="7"/>
      <c r="G32" s="8"/>
      <c r="H32" s="6"/>
      <c r="I32" s="6"/>
      <c r="J32" s="7"/>
      <c r="K32" s="7"/>
      <c r="L32" s="7"/>
      <c r="M32" s="6"/>
      <c r="N32" s="10"/>
      <c r="O32" s="16" t="str">
        <f>IF(ISERROR(VLOOKUP(LEFT(P32,1),Master!$B$2:$C$4,2,FALSE)),"",VLOOKUP(LEFT(P32,1),Master!$B$2:$C$4,2,FALSE))</f>
        <v/>
      </c>
      <c r="P32" s="16"/>
      <c r="Q32" s="16"/>
      <c r="R32" s="16"/>
      <c r="S32" s="16"/>
      <c r="T32" s="16"/>
    </row>
    <row r="33" spans="1:20" ht="15.75" customHeight="1">
      <c r="A33" s="6"/>
      <c r="B33" s="6"/>
      <c r="C33" s="6"/>
      <c r="D33" s="6"/>
      <c r="E33" s="6"/>
      <c r="F33" s="7"/>
      <c r="G33" s="8"/>
      <c r="H33" s="6"/>
      <c r="I33" s="6"/>
      <c r="J33" s="7"/>
      <c r="K33" s="7"/>
      <c r="L33" s="7"/>
      <c r="M33" s="6"/>
      <c r="N33" s="10"/>
      <c r="O33" s="16" t="str">
        <f>IF(ISERROR(VLOOKUP(LEFT(P33,1),Master!$B$2:$C$4,2,FALSE)),"",VLOOKUP(LEFT(P33,1),Master!$B$2:$C$4,2,FALSE))</f>
        <v/>
      </c>
      <c r="P33" s="16"/>
      <c r="Q33" s="16"/>
      <c r="R33" s="16"/>
      <c r="S33" s="16"/>
      <c r="T33" s="16"/>
    </row>
    <row r="34" spans="1:20" ht="15.75" customHeight="1">
      <c r="A34" s="6"/>
      <c r="B34" s="6"/>
      <c r="C34" s="6"/>
      <c r="D34" s="6"/>
      <c r="E34" s="6"/>
      <c r="F34" s="7"/>
      <c r="G34" s="6"/>
      <c r="H34" s="8"/>
      <c r="I34" s="6"/>
      <c r="J34" s="7"/>
      <c r="K34" s="7"/>
      <c r="L34" s="7"/>
      <c r="M34" s="6"/>
      <c r="N34" s="10"/>
      <c r="O34" s="16" t="str">
        <f>IF(ISERROR(VLOOKUP(LEFT(P34,1),Master!$B$2:$C$4,2,FALSE)),"",VLOOKUP(LEFT(P34,1),Master!$B$2:$C$4,2,FALSE))</f>
        <v/>
      </c>
      <c r="P34" s="16"/>
      <c r="Q34" s="16"/>
      <c r="R34" s="16"/>
      <c r="S34" s="16"/>
      <c r="T34" s="16"/>
    </row>
    <row r="35" spans="1:20" ht="15.75" customHeight="1">
      <c r="A35" s="6"/>
      <c r="B35" s="6"/>
      <c r="C35" s="6"/>
      <c r="D35" s="6"/>
      <c r="E35" s="6"/>
      <c r="F35" s="7"/>
      <c r="G35" s="6"/>
      <c r="H35" s="8"/>
      <c r="I35" s="6"/>
      <c r="J35" s="7"/>
      <c r="K35" s="7"/>
      <c r="L35" s="7"/>
      <c r="M35" s="6"/>
      <c r="N35" s="10"/>
      <c r="O35" s="16" t="str">
        <f>IF(ISERROR(VLOOKUP(LEFT(P35,1),Master!$B$2:$C$4,2,FALSE)),"",VLOOKUP(LEFT(P35,1),Master!$B$2:$C$4,2,FALSE))</f>
        <v/>
      </c>
      <c r="P35" s="16"/>
      <c r="Q35" s="16"/>
      <c r="R35" s="16"/>
      <c r="S35" s="16"/>
      <c r="T35" s="16"/>
    </row>
    <row r="36" spans="1:20" ht="15.75" customHeight="1">
      <c r="A36" s="6"/>
      <c r="B36" s="6"/>
      <c r="C36" s="6"/>
      <c r="D36" s="6"/>
      <c r="E36" s="6"/>
      <c r="F36" s="7"/>
      <c r="G36" s="6"/>
      <c r="H36" s="8"/>
      <c r="I36" s="6"/>
      <c r="J36" s="7"/>
      <c r="K36" s="7"/>
      <c r="L36" s="7"/>
      <c r="M36" s="6"/>
      <c r="N36" s="10"/>
      <c r="O36" s="16" t="str">
        <f>IF(ISERROR(VLOOKUP(LEFT(P36,1),Master!$B$2:$C$4,2,FALSE)),"",VLOOKUP(LEFT(P36,1),Master!$B$2:$C$4,2,FALSE))</f>
        <v/>
      </c>
      <c r="P36" s="16"/>
      <c r="Q36" s="16"/>
      <c r="R36" s="16"/>
      <c r="S36" s="16"/>
      <c r="T36" s="16"/>
    </row>
    <row r="37" spans="1:20" ht="15.75" customHeight="1">
      <c r="A37" s="6"/>
      <c r="B37" s="6"/>
      <c r="C37" s="6"/>
      <c r="D37" s="6"/>
      <c r="E37" s="6"/>
      <c r="F37" s="7"/>
      <c r="G37" s="6"/>
      <c r="H37" s="8"/>
      <c r="I37" s="6"/>
      <c r="J37" s="7"/>
      <c r="K37" s="7"/>
      <c r="L37" s="7"/>
      <c r="M37" s="6"/>
      <c r="N37" s="10"/>
      <c r="O37" s="16" t="str">
        <f>IF(ISERROR(VLOOKUP(LEFT(P37,1),Master!$B$2:$C$4,2,FALSE)),"",VLOOKUP(LEFT(P37,1),Master!$B$2:$C$4,2,FALSE))</f>
        <v/>
      </c>
      <c r="P37" s="16"/>
      <c r="Q37" s="16"/>
      <c r="R37" s="16"/>
      <c r="S37" s="16"/>
      <c r="T37" s="16"/>
    </row>
    <row r="38" spans="1:20" ht="15.75" customHeight="1">
      <c r="A38" s="6"/>
      <c r="B38" s="6"/>
      <c r="C38" s="6"/>
      <c r="D38" s="6"/>
      <c r="E38" s="6"/>
      <c r="F38" s="7"/>
      <c r="G38" s="6"/>
      <c r="H38" s="8"/>
      <c r="I38" s="6"/>
      <c r="J38" s="7"/>
      <c r="K38" s="7"/>
      <c r="L38" s="7"/>
      <c r="M38" s="6"/>
      <c r="N38" s="10"/>
      <c r="O38" s="16" t="str">
        <f>IF(ISERROR(VLOOKUP(LEFT(P38,1),Master!$B$2:$C$4,2,FALSE)),"",VLOOKUP(LEFT(P38,1),Master!$B$2:$C$4,2,FALSE))</f>
        <v/>
      </c>
      <c r="P38" s="16"/>
      <c r="Q38" s="16"/>
      <c r="R38" s="16"/>
      <c r="S38" s="16"/>
      <c r="T38" s="16"/>
    </row>
    <row r="39" spans="1:20" ht="15.75" customHeight="1">
      <c r="A39" s="6"/>
      <c r="B39" s="6"/>
      <c r="C39" s="6"/>
      <c r="D39" s="6"/>
      <c r="E39" s="6"/>
      <c r="F39" s="7"/>
      <c r="G39" s="6"/>
      <c r="H39" s="8"/>
      <c r="I39" s="6"/>
      <c r="J39" s="7"/>
      <c r="K39" s="7"/>
      <c r="L39" s="7"/>
      <c r="M39" s="6"/>
      <c r="N39" s="10"/>
      <c r="O39" s="16" t="str">
        <f>IF(ISERROR(VLOOKUP(LEFT(P39,1),Master!$B$2:$C$4,2,FALSE)),"",VLOOKUP(LEFT(P39,1),Master!$B$2:$C$4,2,FALSE))</f>
        <v/>
      </c>
      <c r="P39" s="16"/>
      <c r="Q39" s="16"/>
      <c r="R39" s="16"/>
      <c r="S39" s="16"/>
      <c r="T39" s="16"/>
    </row>
    <row r="40" spans="1:20" ht="15.75" customHeight="1">
      <c r="A40" s="6"/>
      <c r="B40" s="6"/>
      <c r="C40" s="6"/>
      <c r="D40" s="6"/>
      <c r="E40" s="6"/>
      <c r="F40" s="7"/>
      <c r="G40" s="6"/>
      <c r="H40" s="8"/>
      <c r="I40" s="6"/>
      <c r="J40" s="7"/>
      <c r="K40" s="7"/>
      <c r="L40" s="7"/>
      <c r="M40" s="6"/>
      <c r="N40" s="10"/>
      <c r="O40" s="16" t="str">
        <f>IF(ISERROR(VLOOKUP(LEFT(P40,1),Master!$B$2:$C$4,2,FALSE)),"",VLOOKUP(LEFT(P40,1),Master!$B$2:$C$4,2,FALSE))</f>
        <v/>
      </c>
      <c r="P40" s="16"/>
      <c r="Q40" s="16"/>
      <c r="R40" s="16"/>
      <c r="S40" s="16"/>
      <c r="T40" s="16"/>
    </row>
    <row r="41" spans="1:20" ht="18">
      <c r="A41" s="6"/>
      <c r="B41" s="6"/>
      <c r="C41" s="6"/>
      <c r="D41" s="6"/>
      <c r="E41" s="6"/>
      <c r="F41" s="7"/>
      <c r="G41" s="8"/>
      <c r="H41" s="6"/>
      <c r="I41" s="6"/>
      <c r="J41" s="7"/>
      <c r="K41" s="7"/>
      <c r="L41" s="7"/>
      <c r="M41" s="6"/>
      <c r="N41" s="10"/>
      <c r="O41" s="16" t="str">
        <f>IF(ISERROR(VLOOKUP(LEFT(P41,1),Master!$B$2:$C$4,2,FALSE)),"",VLOOKUP(LEFT(P41,1),Master!$B$2:$C$4,2,FALSE))</f>
        <v/>
      </c>
      <c r="P41" s="16"/>
      <c r="Q41" s="16"/>
      <c r="R41" s="16"/>
      <c r="S41" s="16"/>
      <c r="T41" s="16"/>
    </row>
    <row r="42" spans="1:20" ht="18">
      <c r="A42" s="6"/>
      <c r="B42" s="6"/>
      <c r="C42" s="6"/>
      <c r="D42" s="6"/>
      <c r="E42" s="6"/>
      <c r="F42" s="7"/>
      <c r="G42" s="8"/>
      <c r="H42" s="6"/>
      <c r="I42" s="6"/>
      <c r="J42" s="7"/>
      <c r="K42" s="7"/>
      <c r="L42" s="7"/>
      <c r="M42" s="6"/>
      <c r="N42" s="10"/>
      <c r="O42" s="16" t="str">
        <f>IF(ISERROR(VLOOKUP(LEFT(P42,1),Master!$B$2:$C$4,2,FALSE)),"",VLOOKUP(LEFT(P42,1),Master!$B$2:$C$4,2,FALSE))</f>
        <v/>
      </c>
      <c r="P42" s="16"/>
      <c r="Q42" s="16"/>
      <c r="R42" s="16"/>
      <c r="S42" s="16"/>
      <c r="T42" s="16"/>
    </row>
    <row r="43" spans="1:20" ht="18">
      <c r="A43" s="6"/>
      <c r="B43" s="6"/>
      <c r="C43" s="6"/>
      <c r="D43" s="6"/>
      <c r="E43" s="6"/>
      <c r="F43" s="7"/>
      <c r="G43" s="6"/>
      <c r="H43" s="8"/>
      <c r="I43" s="8"/>
      <c r="J43" s="7"/>
      <c r="K43" s="7"/>
      <c r="L43" s="7"/>
      <c r="M43" s="6"/>
      <c r="N43" s="10"/>
      <c r="O43" s="16" t="str">
        <f>IF(ISERROR(VLOOKUP(LEFT(P43,1),Master!$B$2:$C$4,2,FALSE)),"",VLOOKUP(LEFT(P43,1),Master!$B$2:$C$4,2,FALSE))</f>
        <v/>
      </c>
      <c r="P43" s="16"/>
      <c r="Q43" s="16"/>
      <c r="R43" s="16"/>
      <c r="S43" s="16"/>
      <c r="T43" s="16"/>
    </row>
    <row r="44" spans="1:20" ht="18">
      <c r="A44" s="6"/>
      <c r="B44" s="6"/>
      <c r="C44" s="6"/>
      <c r="D44" s="6"/>
      <c r="E44" s="6"/>
      <c r="F44" s="7"/>
      <c r="G44" s="6"/>
      <c r="H44" s="8"/>
      <c r="I44" s="8"/>
      <c r="J44" s="7"/>
      <c r="K44" s="7"/>
      <c r="L44" s="7"/>
      <c r="M44" s="6"/>
      <c r="N44" s="10"/>
      <c r="O44" s="16" t="str">
        <f>IF(ISERROR(VLOOKUP(LEFT(P44,1),Master!$B$2:$C$4,2,FALSE)),"",VLOOKUP(LEFT(P44,1),Master!$B$2:$C$4,2,FALSE))</f>
        <v/>
      </c>
      <c r="P44" s="16"/>
      <c r="Q44" s="16"/>
      <c r="R44" s="16"/>
      <c r="S44" s="16"/>
      <c r="T44" s="16"/>
    </row>
    <row r="45" spans="1:20" ht="18">
      <c r="A45" s="6"/>
      <c r="B45" s="6"/>
      <c r="C45" s="6"/>
      <c r="D45" s="6"/>
      <c r="E45" s="6"/>
      <c r="F45" s="7"/>
      <c r="G45" s="6"/>
      <c r="H45" s="8"/>
      <c r="I45" s="8"/>
      <c r="J45" s="7"/>
      <c r="K45" s="7"/>
      <c r="L45" s="7"/>
      <c r="M45" s="6"/>
      <c r="N45" s="10"/>
      <c r="O45" s="16" t="str">
        <f>IF(ISERROR(VLOOKUP(LEFT(P45,1),Master!$B$2:$C$4,2,FALSE)),"",VLOOKUP(LEFT(P45,1),Master!$B$2:$C$4,2,FALSE))</f>
        <v/>
      </c>
      <c r="P45" s="16"/>
      <c r="Q45" s="16"/>
      <c r="R45" s="16"/>
      <c r="S45" s="16"/>
      <c r="T45" s="16"/>
    </row>
    <row r="46" spans="1:20" ht="18">
      <c r="A46" s="6"/>
      <c r="B46" s="6"/>
      <c r="C46" s="6"/>
      <c r="D46" s="6"/>
      <c r="E46" s="6"/>
      <c r="F46" s="7"/>
      <c r="G46" s="6"/>
      <c r="H46" s="8"/>
      <c r="I46" s="6"/>
      <c r="J46" s="7"/>
      <c r="K46" s="7"/>
      <c r="L46" s="7"/>
      <c r="M46" s="6"/>
      <c r="N46" s="10"/>
      <c r="O46" s="16" t="str">
        <f>IF(ISERROR(VLOOKUP(LEFT(P46,1),Master!$B$2:$C$4,2,FALSE)),"",VLOOKUP(LEFT(P46,1),Master!$B$2:$C$4,2,FALSE))</f>
        <v/>
      </c>
      <c r="P46" s="16"/>
      <c r="Q46" s="16"/>
      <c r="R46" s="16"/>
      <c r="S46" s="16"/>
      <c r="T46" s="16"/>
    </row>
    <row r="47" spans="1:20" ht="18">
      <c r="A47" s="6"/>
      <c r="B47" s="6"/>
      <c r="C47" s="6"/>
      <c r="D47" s="6"/>
      <c r="E47" s="6"/>
      <c r="F47" s="7"/>
      <c r="G47" s="8"/>
      <c r="H47" s="6"/>
      <c r="I47" s="6"/>
      <c r="J47" s="7"/>
      <c r="K47" s="7"/>
      <c r="L47" s="7"/>
      <c r="M47" s="6"/>
      <c r="N47" s="10"/>
      <c r="O47" s="16" t="str">
        <f>IF(ISERROR(VLOOKUP(LEFT(P47,1),Master!$B$2:$C$4,2,FALSE)),"",VLOOKUP(LEFT(P47,1),Master!$B$2:$C$4,2,FALSE))</f>
        <v/>
      </c>
      <c r="P47" s="16"/>
      <c r="Q47" s="16"/>
      <c r="R47" s="16"/>
      <c r="S47" s="16"/>
      <c r="T47" s="16"/>
    </row>
    <row r="48" spans="1:20" ht="18">
      <c r="A48" s="6"/>
      <c r="B48" s="6"/>
      <c r="C48" s="6"/>
      <c r="D48" s="6"/>
      <c r="E48" s="6"/>
      <c r="F48" s="7"/>
      <c r="G48" s="8"/>
      <c r="H48" s="6"/>
      <c r="I48" s="6"/>
      <c r="J48" s="7"/>
      <c r="K48" s="7"/>
      <c r="L48" s="7"/>
      <c r="M48" s="6"/>
      <c r="N48" s="10"/>
      <c r="O48" s="16" t="str">
        <f>IF(ISERROR(VLOOKUP(LEFT(P48,1),Master!$B$2:$C$4,2,FALSE)),"",VLOOKUP(LEFT(P48,1),Master!$B$2:$C$4,2,FALSE))</f>
        <v/>
      </c>
      <c r="P48" s="16"/>
      <c r="Q48" s="16"/>
      <c r="R48" s="16"/>
      <c r="S48" s="16"/>
      <c r="T48" s="16"/>
    </row>
    <row r="49" spans="1:20" ht="18">
      <c r="A49" s="6"/>
      <c r="B49" s="6"/>
      <c r="C49" s="6"/>
      <c r="D49" s="6"/>
      <c r="E49" s="6"/>
      <c r="F49" s="7"/>
      <c r="G49" s="6"/>
      <c r="H49" s="8"/>
      <c r="I49" s="6"/>
      <c r="J49" s="7"/>
      <c r="K49" s="7"/>
      <c r="L49" s="7"/>
      <c r="M49" s="6"/>
      <c r="N49" s="10"/>
      <c r="O49" s="16" t="str">
        <f>IF(ISERROR(VLOOKUP(LEFT(P49,1),Master!$B$2:$C$4,2,FALSE)),"",VLOOKUP(LEFT(P49,1),Master!$B$2:$C$4,2,FALSE))</f>
        <v/>
      </c>
      <c r="P49" s="16"/>
      <c r="Q49" s="16"/>
      <c r="R49" s="16"/>
      <c r="S49" s="16"/>
      <c r="T49" s="16"/>
    </row>
    <row r="50" spans="1:20" ht="18">
      <c r="A50" s="6"/>
      <c r="B50" s="6"/>
      <c r="C50" s="6"/>
      <c r="D50" s="6"/>
      <c r="E50" s="6"/>
      <c r="F50" s="7"/>
      <c r="G50" s="6"/>
      <c r="H50" s="8"/>
      <c r="I50" s="6"/>
      <c r="J50" s="7"/>
      <c r="K50" s="7"/>
      <c r="L50" s="7"/>
      <c r="M50" s="6"/>
      <c r="N50" s="10"/>
      <c r="O50" s="16" t="str">
        <f>IF(ISERROR(VLOOKUP(LEFT(P50,1),Master!$B$2:$C$4,2,FALSE)),"",VLOOKUP(LEFT(P50,1),Master!$B$2:$C$4,2,FALSE))</f>
        <v/>
      </c>
      <c r="P50" s="16"/>
      <c r="Q50" s="16"/>
      <c r="R50" s="16"/>
      <c r="S50" s="16"/>
      <c r="T50" s="16"/>
    </row>
    <row r="51" spans="1:20" ht="18">
      <c r="A51" s="6"/>
      <c r="B51" s="6"/>
      <c r="C51" s="6"/>
      <c r="D51" s="6"/>
      <c r="E51" s="6"/>
      <c r="F51" s="7"/>
      <c r="G51" s="6"/>
      <c r="H51" s="8"/>
      <c r="I51" s="6"/>
      <c r="J51" s="7"/>
      <c r="K51" s="7"/>
      <c r="L51" s="7"/>
      <c r="M51" s="6"/>
      <c r="N51" s="10"/>
      <c r="O51" s="16" t="str">
        <f>IF(ISERROR(VLOOKUP(LEFT(P51,1),Master!$B$2:$C$4,2,FALSE)),"",VLOOKUP(LEFT(P51,1),Master!$B$2:$C$4,2,FALSE))</f>
        <v/>
      </c>
      <c r="P51" s="16"/>
      <c r="Q51" s="16"/>
      <c r="R51" s="16"/>
      <c r="S51" s="16"/>
      <c r="T51" s="16"/>
    </row>
    <row r="52" spans="1:20" ht="18">
      <c r="A52" s="6"/>
      <c r="B52" s="6"/>
      <c r="C52" s="6"/>
      <c r="D52" s="6"/>
      <c r="E52" s="6"/>
      <c r="F52" s="7"/>
      <c r="G52" s="8"/>
      <c r="H52" s="6"/>
      <c r="I52" s="6"/>
      <c r="J52" s="7"/>
      <c r="K52" s="7"/>
      <c r="L52" s="7"/>
      <c r="M52" s="6"/>
      <c r="N52" s="10"/>
      <c r="O52" s="16" t="str">
        <f>IF(ISERROR(VLOOKUP(LEFT(P52,1),Master!$B$2:$C$4,2,FALSE)),"",VLOOKUP(LEFT(P52,1),Master!$B$2:$C$4,2,FALSE))</f>
        <v/>
      </c>
      <c r="P52" s="16"/>
      <c r="Q52" s="16"/>
      <c r="R52" s="16"/>
      <c r="S52" s="16"/>
      <c r="T52" s="16"/>
    </row>
    <row r="53" spans="1:20" ht="18">
      <c r="A53" s="6"/>
      <c r="B53" s="6"/>
      <c r="C53" s="6"/>
      <c r="D53" s="6"/>
      <c r="E53" s="6"/>
      <c r="F53" s="7"/>
      <c r="G53" s="6"/>
      <c r="H53" s="8"/>
      <c r="I53" s="6"/>
      <c r="J53" s="7"/>
      <c r="K53" s="7"/>
      <c r="L53" s="7"/>
      <c r="M53" s="6"/>
      <c r="N53" s="10"/>
      <c r="O53" s="16" t="str">
        <f>IF(ISERROR(VLOOKUP(LEFT(P53,1),Master!$B$2:$C$4,2,FALSE)),"",VLOOKUP(LEFT(P53,1),Master!$B$2:$C$4,2,FALSE))</f>
        <v/>
      </c>
      <c r="P53" s="16"/>
      <c r="Q53" s="16"/>
      <c r="R53" s="16"/>
      <c r="S53" s="16"/>
      <c r="T53" s="16"/>
    </row>
    <row r="54" spans="1:20" ht="18">
      <c r="A54" s="6"/>
      <c r="B54" s="6"/>
      <c r="C54" s="6"/>
      <c r="D54" s="6"/>
      <c r="E54" s="6"/>
      <c r="F54" s="7"/>
      <c r="G54" s="6"/>
      <c r="H54" s="8"/>
      <c r="I54" s="6"/>
      <c r="J54" s="7"/>
      <c r="K54" s="7"/>
      <c r="L54" s="7"/>
      <c r="M54" s="6"/>
      <c r="N54" s="10"/>
      <c r="O54" s="16" t="str">
        <f>IF(ISERROR(VLOOKUP(LEFT(P54,1),Master!$B$2:$C$4,2,FALSE)),"",VLOOKUP(LEFT(P54,1),Master!$B$2:$C$4,2,FALSE))</f>
        <v/>
      </c>
      <c r="P54" s="16"/>
      <c r="Q54" s="16"/>
      <c r="R54" s="16"/>
      <c r="S54" s="16"/>
      <c r="T54" s="16"/>
    </row>
    <row r="55" spans="1:20" ht="18">
      <c r="A55" s="6"/>
      <c r="B55" s="6"/>
      <c r="C55" s="6"/>
      <c r="D55" s="6"/>
      <c r="E55" s="6"/>
      <c r="F55" s="7"/>
      <c r="G55" s="8"/>
      <c r="H55" s="6"/>
      <c r="I55" s="6"/>
      <c r="J55" s="7"/>
      <c r="K55" s="7"/>
      <c r="L55" s="7"/>
      <c r="M55" s="6"/>
      <c r="N55" s="10"/>
      <c r="O55" s="16" t="str">
        <f>IF(ISERROR(VLOOKUP(LEFT(P55,1),Master!$B$2:$C$4,2,FALSE)),"",VLOOKUP(LEFT(P55,1),Master!$B$2:$C$4,2,FALSE))</f>
        <v/>
      </c>
      <c r="P55" s="16"/>
      <c r="Q55" s="16"/>
      <c r="R55" s="16"/>
      <c r="S55" s="16"/>
      <c r="T55" s="16"/>
    </row>
    <row r="56" spans="1:20" ht="18">
      <c r="A56" s="6"/>
      <c r="B56" s="6"/>
      <c r="C56" s="6"/>
      <c r="D56" s="6"/>
      <c r="E56" s="6"/>
      <c r="F56" s="7"/>
      <c r="G56" s="8"/>
      <c r="H56" s="6"/>
      <c r="I56" s="6"/>
      <c r="J56" s="7"/>
      <c r="K56" s="7"/>
      <c r="L56" s="7"/>
      <c r="M56" s="6"/>
      <c r="N56" s="10"/>
      <c r="O56" s="16" t="str">
        <f>IF(ISERROR(VLOOKUP(LEFT(P56,1),Master!$B$2:$C$4,2,FALSE)),"",VLOOKUP(LEFT(P56,1),Master!$B$2:$C$4,2,FALSE))</f>
        <v/>
      </c>
      <c r="P56" s="16"/>
      <c r="Q56" s="16"/>
      <c r="R56" s="16"/>
      <c r="S56" s="16"/>
      <c r="T56" s="16"/>
    </row>
    <row r="57" spans="1:20" ht="18">
      <c r="A57" s="6"/>
      <c r="B57" s="6"/>
      <c r="C57" s="6"/>
      <c r="D57" s="6"/>
      <c r="E57" s="6"/>
      <c r="F57" s="7"/>
      <c r="G57" s="8"/>
      <c r="H57" s="6"/>
      <c r="I57" s="6"/>
      <c r="J57" s="7"/>
      <c r="K57" s="7"/>
      <c r="L57" s="7"/>
      <c r="M57" s="6"/>
      <c r="N57" s="10"/>
      <c r="O57" s="16" t="str">
        <f>IF(ISERROR(VLOOKUP(LEFT(P57,1),Master!$B$2:$C$4,2,FALSE)),"",VLOOKUP(LEFT(P57,1),Master!$B$2:$C$4,2,FALSE))</f>
        <v/>
      </c>
      <c r="P57" s="16"/>
      <c r="Q57" s="16"/>
      <c r="R57" s="16"/>
      <c r="S57" s="16"/>
      <c r="T57" s="16"/>
    </row>
    <row r="58" spans="1:20" ht="18">
      <c r="A58" s="6"/>
      <c r="B58" s="6"/>
      <c r="C58" s="6"/>
      <c r="D58" s="6"/>
      <c r="E58" s="6"/>
      <c r="F58" s="7"/>
      <c r="G58" s="6"/>
      <c r="H58" s="8"/>
      <c r="I58" s="6"/>
      <c r="J58" s="7"/>
      <c r="K58" s="7"/>
      <c r="L58" s="7"/>
      <c r="M58" s="6"/>
      <c r="N58" s="10"/>
      <c r="O58" s="16" t="str">
        <f>IF(ISERROR(VLOOKUP(LEFT(P58,1),Master!$B$2:$C$4,2,FALSE)),"",VLOOKUP(LEFT(P58,1),Master!$B$2:$C$4,2,FALSE))</f>
        <v/>
      </c>
      <c r="P58" s="16"/>
      <c r="Q58" s="16"/>
      <c r="R58" s="16"/>
      <c r="S58" s="16"/>
      <c r="T58" s="16"/>
    </row>
    <row r="59" spans="1:20" ht="18">
      <c r="A59" s="6"/>
      <c r="B59" s="6"/>
      <c r="C59" s="6"/>
      <c r="D59" s="6"/>
      <c r="E59" s="6"/>
      <c r="F59" s="7"/>
      <c r="G59" s="6"/>
      <c r="H59" s="8"/>
      <c r="I59" s="6"/>
      <c r="J59" s="7"/>
      <c r="K59" s="7"/>
      <c r="L59" s="7"/>
      <c r="M59" s="6"/>
      <c r="N59" s="10"/>
      <c r="O59" s="16" t="str">
        <f>IF(ISERROR(VLOOKUP(LEFT(P59,1),Master!$B$2:$C$4,2,FALSE)),"",VLOOKUP(LEFT(P59,1),Master!$B$2:$C$4,2,FALSE))</f>
        <v/>
      </c>
      <c r="P59" s="16"/>
      <c r="Q59" s="16"/>
      <c r="R59" s="16"/>
      <c r="S59" s="16"/>
      <c r="T59" s="16"/>
    </row>
    <row r="60" spans="1:20" ht="18">
      <c r="A60" s="6"/>
      <c r="B60" s="6"/>
      <c r="C60" s="6"/>
      <c r="D60" s="6"/>
      <c r="E60" s="6"/>
      <c r="F60" s="7"/>
      <c r="G60" s="6"/>
      <c r="H60" s="8"/>
      <c r="I60" s="6"/>
      <c r="J60" s="7"/>
      <c r="K60" s="7"/>
      <c r="L60" s="7"/>
      <c r="M60" s="6"/>
      <c r="N60" s="10"/>
      <c r="O60" s="16" t="str">
        <f>IF(ISERROR(VLOOKUP(LEFT(P60,1),Master!$B$2:$C$4,2,FALSE)),"",VLOOKUP(LEFT(P60,1),Master!$B$2:$C$4,2,FALSE))</f>
        <v/>
      </c>
      <c r="P60" s="16"/>
      <c r="Q60" s="16"/>
      <c r="R60" s="16"/>
      <c r="S60" s="16"/>
      <c r="T60" s="16"/>
    </row>
    <row r="61" spans="1:20" ht="18">
      <c r="A61" s="6"/>
      <c r="B61" s="6"/>
      <c r="C61" s="6"/>
      <c r="D61" s="6"/>
      <c r="E61" s="6"/>
      <c r="F61" s="7"/>
      <c r="G61" s="6"/>
      <c r="H61" s="8"/>
      <c r="I61" s="6"/>
      <c r="J61" s="7"/>
      <c r="K61" s="7"/>
      <c r="L61" s="7"/>
      <c r="M61" s="6"/>
      <c r="N61" s="10"/>
      <c r="O61" s="16" t="str">
        <f>IF(ISERROR(VLOOKUP(LEFT(P61,1),Master!$B$2:$C$4,2,FALSE)),"",VLOOKUP(LEFT(P61,1),Master!$B$2:$C$4,2,FALSE))</f>
        <v/>
      </c>
      <c r="P61" s="16"/>
      <c r="Q61" s="16"/>
      <c r="R61" s="16"/>
      <c r="S61" s="16"/>
      <c r="T61" s="16"/>
    </row>
    <row r="62" spans="1:20" ht="18">
      <c r="A62" s="6"/>
      <c r="B62" s="6"/>
      <c r="C62" s="6"/>
      <c r="D62" s="6"/>
      <c r="E62" s="6"/>
      <c r="F62" s="7"/>
      <c r="G62" s="6"/>
      <c r="H62" s="8"/>
      <c r="I62" s="6"/>
      <c r="J62" s="7"/>
      <c r="K62" s="7"/>
      <c r="L62" s="7"/>
      <c r="M62" s="6"/>
      <c r="N62" s="10"/>
      <c r="O62" s="16" t="str">
        <f>IF(ISERROR(VLOOKUP(LEFT(P62,1),Master!$B$2:$C$4,2,FALSE)),"",VLOOKUP(LEFT(P62,1),Master!$B$2:$C$4,2,FALSE))</f>
        <v/>
      </c>
      <c r="P62" s="16"/>
      <c r="Q62" s="16"/>
      <c r="R62" s="16"/>
      <c r="S62" s="16"/>
      <c r="T62" s="16"/>
    </row>
    <row r="63" spans="1:20" ht="18">
      <c r="A63" s="6"/>
      <c r="B63" s="6"/>
      <c r="C63" s="6"/>
      <c r="D63" s="6"/>
      <c r="E63" s="6"/>
      <c r="F63" s="7"/>
      <c r="G63" s="6"/>
      <c r="H63" s="8"/>
      <c r="I63" s="6"/>
      <c r="J63" s="7"/>
      <c r="K63" s="7"/>
      <c r="L63" s="7"/>
      <c r="M63" s="6"/>
      <c r="N63" s="10"/>
      <c r="O63" s="16" t="str">
        <f>IF(ISERROR(VLOOKUP(LEFT(P63,1),Master!$B$2:$C$4,2,FALSE)),"",VLOOKUP(LEFT(P63,1),Master!$B$2:$C$4,2,FALSE))</f>
        <v/>
      </c>
      <c r="P63" s="16"/>
      <c r="Q63" s="16"/>
      <c r="R63" s="16"/>
      <c r="S63" s="16"/>
      <c r="T63" s="16"/>
    </row>
    <row r="64" spans="1:20" ht="18">
      <c r="A64" s="6"/>
      <c r="B64" s="6"/>
      <c r="C64" s="6"/>
      <c r="D64" s="6"/>
      <c r="E64" s="6"/>
      <c r="F64" s="7"/>
      <c r="G64" s="6"/>
      <c r="H64" s="8"/>
      <c r="I64" s="6"/>
      <c r="J64" s="7"/>
      <c r="K64" s="7"/>
      <c r="L64" s="7"/>
      <c r="M64" s="6"/>
      <c r="N64" s="10"/>
      <c r="O64" s="16" t="str">
        <f>IF(ISERROR(VLOOKUP(LEFT(P64,1),Master!$B$2:$C$4,2,FALSE)),"",VLOOKUP(LEFT(P64,1),Master!$B$2:$C$4,2,FALSE))</f>
        <v/>
      </c>
      <c r="P64" s="16"/>
      <c r="Q64" s="16"/>
      <c r="R64" s="16"/>
      <c r="S64" s="16"/>
      <c r="T64" s="16"/>
    </row>
    <row r="65" spans="1:20" ht="18">
      <c r="A65" s="6"/>
      <c r="B65" s="6"/>
      <c r="C65" s="6"/>
      <c r="D65" s="6"/>
      <c r="E65" s="6"/>
      <c r="F65" s="7"/>
      <c r="G65" s="6"/>
      <c r="H65" s="8"/>
      <c r="I65" s="6"/>
      <c r="J65" s="7"/>
      <c r="K65" s="7"/>
      <c r="L65" s="7"/>
      <c r="M65" s="6"/>
      <c r="N65" s="10"/>
      <c r="O65" s="16" t="str">
        <f>IF(ISERROR(VLOOKUP(LEFT(P65,1),Master!$B$2:$C$4,2,FALSE)),"",VLOOKUP(LEFT(P65,1),Master!$B$2:$C$4,2,FALSE))</f>
        <v/>
      </c>
      <c r="P65" s="16"/>
      <c r="Q65" s="16"/>
      <c r="R65" s="16"/>
      <c r="S65" s="16"/>
      <c r="T65" s="16"/>
    </row>
    <row r="66" spans="1:20" ht="18">
      <c r="A66" s="6"/>
      <c r="B66" s="6"/>
      <c r="C66" s="6"/>
      <c r="D66" s="6"/>
      <c r="E66" s="6"/>
      <c r="F66" s="7"/>
      <c r="G66" s="6"/>
      <c r="H66" s="8"/>
      <c r="I66" s="8"/>
      <c r="J66" s="7"/>
      <c r="K66" s="7"/>
      <c r="L66" s="7"/>
      <c r="M66" s="6"/>
      <c r="N66" s="10"/>
      <c r="O66" s="16" t="str">
        <f>IF(ISERROR(VLOOKUP(LEFT(P66,1),Master!$B$2:$C$4,2,FALSE)),"",VLOOKUP(LEFT(P66,1),Master!$B$2:$C$4,2,FALSE))</f>
        <v/>
      </c>
      <c r="P66" s="16"/>
      <c r="Q66" s="16"/>
      <c r="R66" s="16"/>
      <c r="S66" s="16"/>
      <c r="T66" s="16"/>
    </row>
    <row r="67" spans="1:20" ht="18">
      <c r="A67" s="6"/>
      <c r="B67" s="6"/>
      <c r="C67" s="6"/>
      <c r="D67" s="6"/>
      <c r="E67" s="6"/>
      <c r="F67" s="7"/>
      <c r="G67" s="6"/>
      <c r="H67" s="8"/>
      <c r="I67" s="6"/>
      <c r="J67" s="7"/>
      <c r="K67" s="7"/>
      <c r="L67" s="7"/>
      <c r="M67" s="6"/>
      <c r="N67" s="10"/>
      <c r="O67" s="16" t="str">
        <f>IF(ISERROR(VLOOKUP(LEFT(P67,1),Master!$B$2:$C$4,2,FALSE)),"",VLOOKUP(LEFT(P67,1),Master!$B$2:$C$4,2,FALSE))</f>
        <v/>
      </c>
      <c r="P67" s="16"/>
      <c r="Q67" s="16"/>
      <c r="R67" s="16"/>
      <c r="S67" s="16"/>
      <c r="T67" s="16"/>
    </row>
    <row r="68" spans="1:20" ht="18">
      <c r="A68" s="6"/>
      <c r="B68" s="6"/>
      <c r="C68" s="6"/>
      <c r="D68" s="6"/>
      <c r="E68" s="6"/>
      <c r="F68" s="7"/>
      <c r="G68" s="8"/>
      <c r="H68" s="6"/>
      <c r="I68" s="6"/>
      <c r="J68" s="7"/>
      <c r="K68" s="7"/>
      <c r="L68" s="7"/>
      <c r="M68" s="6"/>
      <c r="N68" s="10"/>
      <c r="O68" s="16" t="str">
        <f>IF(ISERROR(VLOOKUP(LEFT(P68,1),Master!$B$2:$C$4,2,FALSE)),"",VLOOKUP(LEFT(P68,1),Master!$B$2:$C$4,2,FALSE))</f>
        <v/>
      </c>
      <c r="P68" s="16"/>
      <c r="Q68" s="16"/>
      <c r="R68" s="16"/>
      <c r="S68" s="16"/>
      <c r="T68" s="16"/>
    </row>
    <row r="69" spans="1:20" ht="18">
      <c r="A69" s="6"/>
      <c r="B69" s="6"/>
      <c r="C69" s="6"/>
      <c r="D69" s="6"/>
      <c r="E69" s="6"/>
      <c r="F69" s="7"/>
      <c r="G69" s="6"/>
      <c r="H69" s="8"/>
      <c r="I69" s="6"/>
      <c r="J69" s="7"/>
      <c r="K69" s="7"/>
      <c r="L69" s="7"/>
      <c r="M69" s="6"/>
      <c r="N69" s="10"/>
      <c r="O69" s="16" t="str">
        <f>IF(ISERROR(VLOOKUP(LEFT(P69,1),Master!$B$2:$C$4,2,FALSE)),"",VLOOKUP(LEFT(P69,1),Master!$B$2:$C$4,2,FALSE))</f>
        <v/>
      </c>
      <c r="P69" s="17"/>
      <c r="Q69" s="16"/>
      <c r="R69" s="16"/>
      <c r="S69" s="17"/>
      <c r="T69" s="10"/>
    </row>
    <row r="70" spans="1:20" ht="18">
      <c r="A70" s="6"/>
      <c r="B70" s="6"/>
      <c r="C70" s="6"/>
      <c r="D70" s="6"/>
      <c r="E70" s="6"/>
      <c r="F70" s="7"/>
      <c r="G70" s="6"/>
      <c r="H70" s="8"/>
      <c r="I70" s="6"/>
      <c r="J70" s="7"/>
      <c r="K70" s="7"/>
      <c r="L70" s="7"/>
      <c r="M70" s="6"/>
      <c r="N70" s="10"/>
      <c r="O70" s="16" t="str">
        <f>IF(ISERROR(VLOOKUP(LEFT(P70,1),Master!$B$2:$C$4,2,FALSE)),"",VLOOKUP(LEFT(P70,1),Master!$B$2:$C$4,2,FALSE))</f>
        <v/>
      </c>
      <c r="P70" s="17"/>
      <c r="Q70" s="16"/>
      <c r="R70" s="16"/>
      <c r="S70" s="17"/>
      <c r="T70" s="10"/>
    </row>
    <row r="71" spans="1:20" ht="18">
      <c r="A71" s="6"/>
      <c r="B71" s="6"/>
      <c r="C71" s="6"/>
      <c r="D71" s="6"/>
      <c r="E71" s="6"/>
      <c r="F71" s="7"/>
      <c r="G71" s="6"/>
      <c r="H71" s="8"/>
      <c r="I71" s="6"/>
      <c r="J71" s="7"/>
      <c r="K71" s="7"/>
      <c r="L71" s="7"/>
      <c r="M71" s="6"/>
      <c r="N71" s="10"/>
      <c r="O71" s="16" t="str">
        <f>IF(ISERROR(VLOOKUP(LEFT(P71,1),Master!$B$2:$C$4,2,FALSE)),"",VLOOKUP(LEFT(P71,1),Master!$B$2:$C$4,2,FALSE))</f>
        <v/>
      </c>
      <c r="P71" s="17"/>
      <c r="Q71" s="16"/>
      <c r="R71" s="16"/>
      <c r="S71" s="17"/>
      <c r="T71" s="10"/>
    </row>
    <row r="72" spans="1:20" ht="18">
      <c r="A72" s="6"/>
      <c r="B72" s="6"/>
      <c r="C72" s="6"/>
      <c r="D72" s="6"/>
      <c r="E72" s="6"/>
      <c r="F72" s="7"/>
      <c r="G72" s="6"/>
      <c r="H72" s="8"/>
      <c r="I72" s="6"/>
      <c r="J72" s="7"/>
      <c r="K72" s="7"/>
      <c r="L72" s="7"/>
      <c r="M72" s="6"/>
      <c r="N72" s="10"/>
      <c r="O72" s="16" t="str">
        <f>IF(ISERROR(VLOOKUP(LEFT(P72,1),Master!$B$2:$C$4,2,FALSE)),"",VLOOKUP(LEFT(P72,1),Master!$B$2:$C$4,2,FALSE))</f>
        <v/>
      </c>
      <c r="P72" s="17"/>
      <c r="Q72" s="16"/>
      <c r="R72" s="16"/>
      <c r="S72" s="17"/>
      <c r="T72" s="10"/>
    </row>
    <row r="73" spans="1:20" ht="18">
      <c r="A73" s="6"/>
      <c r="B73" s="6"/>
      <c r="C73" s="6"/>
      <c r="D73" s="6"/>
      <c r="E73" s="6"/>
      <c r="F73" s="7"/>
      <c r="G73" s="6"/>
      <c r="H73" s="8"/>
      <c r="I73" s="6"/>
      <c r="J73" s="7"/>
      <c r="K73" s="7"/>
      <c r="L73" s="7"/>
      <c r="M73" s="6"/>
      <c r="N73" s="10"/>
      <c r="O73" s="16" t="str">
        <f>IF(ISERROR(VLOOKUP(LEFT(P73,1),Master!$B$2:$C$4,2,FALSE)),"",VLOOKUP(LEFT(P73,1),Master!$B$2:$C$4,2,FALSE))</f>
        <v/>
      </c>
      <c r="P73" s="17"/>
      <c r="Q73" s="16"/>
      <c r="R73" s="16"/>
      <c r="S73" s="17"/>
      <c r="T73" s="10"/>
    </row>
    <row r="74" spans="1:20" ht="18">
      <c r="A74" s="6"/>
      <c r="B74" s="6"/>
      <c r="C74" s="6"/>
      <c r="D74" s="6"/>
      <c r="E74" s="6"/>
      <c r="F74" s="7"/>
      <c r="G74" s="6"/>
      <c r="H74" s="8"/>
      <c r="I74" s="6"/>
      <c r="J74" s="7"/>
      <c r="K74" s="7"/>
      <c r="L74" s="7"/>
      <c r="M74" s="6"/>
      <c r="N74" s="10"/>
      <c r="O74" s="16" t="str">
        <f>IF(ISERROR(VLOOKUP(LEFT(P74,1),Master!$B$2:$C$4,2,FALSE)),"",VLOOKUP(LEFT(P74,1),Master!$B$2:$C$4,2,FALSE))</f>
        <v/>
      </c>
      <c r="P74" s="16"/>
      <c r="Q74" s="16"/>
      <c r="R74" s="16"/>
      <c r="S74" s="16"/>
      <c r="T74" s="16"/>
    </row>
    <row r="75" spans="1:20" ht="18">
      <c r="A75" s="6"/>
      <c r="B75" s="6"/>
      <c r="C75" s="6"/>
      <c r="D75" s="6"/>
      <c r="E75" s="6"/>
      <c r="F75" s="7"/>
      <c r="G75" s="8"/>
      <c r="H75" s="6"/>
      <c r="I75" s="6"/>
      <c r="J75" s="7"/>
      <c r="K75" s="7"/>
      <c r="L75" s="7"/>
      <c r="M75" s="6"/>
      <c r="N75" s="10"/>
      <c r="O75" s="16" t="str">
        <f>IF(ISERROR(VLOOKUP(LEFT(P75,1),Master!$B$2:$C$4,2,FALSE)),"",VLOOKUP(LEFT(P75,1),Master!$B$2:$C$4,2,FALSE))</f>
        <v/>
      </c>
      <c r="P75" s="17"/>
      <c r="Q75" s="16"/>
      <c r="R75" s="16"/>
      <c r="S75" s="17"/>
      <c r="T75" s="10"/>
    </row>
    <row r="76" spans="1:20" ht="18">
      <c r="A76" s="6"/>
      <c r="B76" s="6"/>
      <c r="C76" s="6"/>
      <c r="D76" s="6"/>
      <c r="E76" s="6"/>
      <c r="F76" s="7"/>
      <c r="G76" s="8"/>
      <c r="H76" s="6"/>
      <c r="I76" s="6"/>
      <c r="J76" s="7"/>
      <c r="K76" s="7"/>
      <c r="L76" s="7"/>
      <c r="M76" s="6"/>
      <c r="N76" s="10"/>
      <c r="O76" s="16" t="str">
        <f>IF(ISERROR(VLOOKUP(LEFT(P76,1),Master!$B$2:$C$4,2,FALSE)),"",VLOOKUP(LEFT(P76,1),Master!$B$2:$C$4,2,FALSE))</f>
        <v/>
      </c>
      <c r="P76" s="17"/>
      <c r="Q76" s="16"/>
      <c r="R76" s="16"/>
      <c r="S76" s="17"/>
      <c r="T76" s="10"/>
    </row>
    <row r="77" spans="1:20" ht="18">
      <c r="A77" s="6"/>
      <c r="B77" s="6"/>
      <c r="C77" s="6"/>
      <c r="D77" s="6"/>
      <c r="E77" s="6"/>
      <c r="F77" s="7"/>
      <c r="G77" s="8"/>
      <c r="H77" s="6"/>
      <c r="I77" s="6"/>
      <c r="J77" s="7"/>
      <c r="K77" s="7"/>
      <c r="L77" s="7"/>
      <c r="M77" s="6"/>
      <c r="N77" s="10"/>
      <c r="O77" s="16" t="str">
        <f>IF(ISERROR(VLOOKUP(LEFT(P77,1),Master!$B$2:$C$4,2,FALSE)),"",VLOOKUP(LEFT(P77,1),Master!$B$2:$C$4,2,FALSE))</f>
        <v/>
      </c>
      <c r="P77" s="16"/>
      <c r="Q77" s="16"/>
      <c r="R77" s="16"/>
      <c r="S77" s="16"/>
      <c r="T77" s="16"/>
    </row>
    <row r="78" spans="1:20" ht="18">
      <c r="A78" s="6"/>
      <c r="B78" s="6"/>
      <c r="C78" s="6"/>
      <c r="D78" s="6"/>
      <c r="E78" s="6"/>
      <c r="F78" s="7"/>
      <c r="G78" s="8"/>
      <c r="H78" s="8"/>
      <c r="I78" s="6"/>
      <c r="J78" s="7"/>
      <c r="K78" s="7"/>
      <c r="L78" s="7"/>
      <c r="M78" s="6"/>
      <c r="N78" s="10"/>
      <c r="O78" s="16" t="str">
        <f>IF(ISERROR(VLOOKUP(LEFT(P78,1),Master!$B$2:$C$4,2,FALSE)),"",VLOOKUP(LEFT(P78,1),Master!$B$2:$C$4,2,FALSE))</f>
        <v/>
      </c>
      <c r="P78" s="17"/>
      <c r="Q78" s="16"/>
      <c r="R78" s="16"/>
      <c r="S78" s="17"/>
      <c r="T78" s="10"/>
    </row>
    <row r="79" spans="1:20" ht="18">
      <c r="A79" s="6"/>
      <c r="B79" s="6"/>
      <c r="C79" s="6"/>
      <c r="D79" s="6"/>
      <c r="E79" s="6"/>
      <c r="F79" s="7"/>
      <c r="G79" s="8"/>
      <c r="H79" s="8"/>
      <c r="I79" s="6"/>
      <c r="J79" s="7"/>
      <c r="K79" s="7"/>
      <c r="L79" s="7"/>
      <c r="M79" s="6"/>
      <c r="N79" s="10"/>
      <c r="O79" s="16" t="str">
        <f>IF(ISERROR(VLOOKUP(LEFT(P79,1),Master!$B$2:$C$4,2,FALSE)),"",VLOOKUP(LEFT(P79,1),Master!$B$2:$C$4,2,FALSE))</f>
        <v/>
      </c>
      <c r="P79" s="17"/>
      <c r="Q79" s="16"/>
      <c r="R79" s="16"/>
      <c r="S79" s="17"/>
      <c r="T79" s="10"/>
    </row>
    <row r="80" spans="1:20" ht="18">
      <c r="A80" s="6"/>
      <c r="B80" s="6"/>
      <c r="C80" s="6"/>
      <c r="D80" s="6"/>
      <c r="E80" s="6"/>
      <c r="F80" s="7"/>
      <c r="G80" s="8"/>
      <c r="H80" s="8"/>
      <c r="I80" s="6"/>
      <c r="J80" s="7"/>
      <c r="K80" s="7"/>
      <c r="L80" s="7"/>
      <c r="M80" s="6"/>
      <c r="N80" s="10"/>
      <c r="O80" s="16" t="str">
        <f>IF(ISERROR(VLOOKUP(LEFT(P80,1),Master!$B$2:$C$4,2,FALSE)),"",VLOOKUP(LEFT(P80,1),Master!$B$2:$C$4,2,FALSE))</f>
        <v/>
      </c>
      <c r="P80" s="17"/>
      <c r="Q80" s="16"/>
      <c r="R80" s="16"/>
      <c r="S80" s="17"/>
      <c r="T80" s="10"/>
    </row>
    <row r="81" spans="1:20" ht="18">
      <c r="A81" s="6"/>
      <c r="B81" s="6"/>
      <c r="C81" s="6"/>
      <c r="D81" s="6"/>
      <c r="E81" s="6"/>
      <c r="F81" s="7"/>
      <c r="G81" s="8"/>
      <c r="H81" s="6"/>
      <c r="I81" s="6"/>
      <c r="J81" s="7"/>
      <c r="K81" s="7"/>
      <c r="L81" s="7"/>
      <c r="M81" s="6"/>
      <c r="N81" s="10"/>
      <c r="O81" s="16" t="str">
        <f>IF(ISERROR(VLOOKUP(LEFT(P81,1),Master!$B$2:$C$4,2,FALSE)),"",VLOOKUP(LEFT(P81,1),Master!$B$2:$C$4,2,FALSE))</f>
        <v/>
      </c>
      <c r="P81" s="16"/>
      <c r="Q81" s="16"/>
      <c r="R81" s="16"/>
      <c r="S81" s="16"/>
      <c r="T81" s="16"/>
    </row>
    <row r="82" spans="1:20" ht="18">
      <c r="A82" s="6"/>
      <c r="B82" s="6"/>
      <c r="C82" s="6"/>
      <c r="D82" s="6"/>
      <c r="E82" s="6"/>
      <c r="F82" s="7"/>
      <c r="G82" s="8"/>
      <c r="H82" s="6"/>
      <c r="I82" s="6"/>
      <c r="J82" s="7"/>
      <c r="K82" s="7"/>
      <c r="L82" s="7"/>
      <c r="M82" s="6"/>
      <c r="N82" s="10"/>
      <c r="O82" s="16" t="str">
        <f>IF(ISERROR(VLOOKUP(LEFT(P82,1),Master!$B$2:$C$4,2,FALSE)),"",VLOOKUP(LEFT(P82,1),Master!$B$2:$C$4,2,FALSE))</f>
        <v/>
      </c>
      <c r="P82" s="16"/>
      <c r="Q82" s="16"/>
      <c r="R82" s="16"/>
      <c r="S82" s="16"/>
      <c r="T82" s="16"/>
    </row>
    <row r="83" spans="1:20" ht="18">
      <c r="A83" s="6"/>
      <c r="B83" s="6"/>
      <c r="C83" s="6"/>
      <c r="D83" s="6"/>
      <c r="E83" s="6"/>
      <c r="F83" s="7"/>
      <c r="G83" s="8"/>
      <c r="H83" s="6"/>
      <c r="I83" s="6"/>
      <c r="J83" s="7"/>
      <c r="K83" s="7"/>
      <c r="L83" s="7"/>
      <c r="M83" s="6"/>
      <c r="N83" s="10"/>
      <c r="O83" s="16" t="str">
        <f>IF(ISERROR(VLOOKUP(LEFT(P83,1),Master!$B$2:$C$4,2,FALSE)),"",VLOOKUP(LEFT(P83,1),Master!$B$2:$C$4,2,FALSE))</f>
        <v/>
      </c>
      <c r="P83" s="16"/>
      <c r="Q83" s="16"/>
      <c r="R83" s="16"/>
      <c r="S83" s="16"/>
      <c r="T83" s="16"/>
    </row>
    <row r="84" spans="1:20" ht="18">
      <c r="A84" s="6"/>
      <c r="B84" s="6"/>
      <c r="C84" s="6"/>
      <c r="D84" s="6"/>
      <c r="E84" s="6"/>
      <c r="F84" s="7"/>
      <c r="G84" s="6"/>
      <c r="H84" s="8"/>
      <c r="I84" s="8"/>
      <c r="J84" s="7"/>
      <c r="K84" s="7"/>
      <c r="L84" s="7"/>
      <c r="M84" s="6"/>
      <c r="N84" s="10"/>
      <c r="O84" s="16" t="str">
        <f>IF(ISERROR(VLOOKUP(LEFT(P84,1),Master!$B$2:$C$4,2,FALSE)),"",VLOOKUP(LEFT(P84,1),Master!$B$2:$C$4,2,FALSE))</f>
        <v/>
      </c>
      <c r="P84" s="16"/>
      <c r="Q84" s="16"/>
      <c r="R84" s="16"/>
      <c r="S84" s="16"/>
      <c r="T84" s="16"/>
    </row>
    <row r="85" spans="1:20" ht="18">
      <c r="A85" s="6"/>
      <c r="B85" s="6"/>
      <c r="C85" s="6"/>
      <c r="D85" s="6"/>
      <c r="E85" s="6"/>
      <c r="F85" s="7"/>
      <c r="G85" s="6"/>
      <c r="H85" s="8"/>
      <c r="I85" s="8"/>
      <c r="J85" s="7"/>
      <c r="K85" s="7"/>
      <c r="L85" s="7"/>
      <c r="M85" s="6"/>
      <c r="N85" s="10"/>
      <c r="O85" s="16" t="str">
        <f>IF(ISERROR(VLOOKUP(LEFT(P85,1),Master!$B$2:$C$4,2,FALSE)),"",VLOOKUP(LEFT(P85,1),Master!$B$2:$C$4,2,FALSE))</f>
        <v/>
      </c>
      <c r="P85" s="16"/>
      <c r="Q85" s="16"/>
      <c r="R85" s="16"/>
      <c r="S85" s="16"/>
      <c r="T85" s="16"/>
    </row>
    <row r="86" spans="1:20" ht="18">
      <c r="A86" s="6"/>
      <c r="B86" s="6"/>
      <c r="C86" s="6"/>
      <c r="D86" s="6"/>
      <c r="E86" s="6"/>
      <c r="F86" s="7"/>
      <c r="G86" s="6"/>
      <c r="H86" s="8"/>
      <c r="I86" s="8"/>
      <c r="J86" s="7"/>
      <c r="K86" s="7"/>
      <c r="L86" s="7"/>
      <c r="M86" s="6"/>
      <c r="N86" s="10"/>
      <c r="O86" s="16" t="str">
        <f>IF(ISERROR(VLOOKUP(LEFT(P86,1),Master!$B$2:$C$4,2,FALSE)),"",VLOOKUP(LEFT(P86,1),Master!$B$2:$C$4,2,FALSE))</f>
        <v/>
      </c>
      <c r="P86" s="16"/>
      <c r="Q86" s="16"/>
      <c r="R86" s="16"/>
      <c r="S86" s="16"/>
      <c r="T86" s="16"/>
    </row>
    <row r="87" spans="1:20" ht="18">
      <c r="A87" s="6"/>
      <c r="B87" s="6"/>
      <c r="C87" s="6"/>
      <c r="D87" s="6"/>
      <c r="E87" s="6"/>
      <c r="F87" s="7"/>
      <c r="G87" s="6"/>
      <c r="H87" s="8"/>
      <c r="I87" s="8"/>
      <c r="J87" s="7"/>
      <c r="K87" s="7"/>
      <c r="L87" s="7"/>
      <c r="M87" s="6"/>
      <c r="N87" s="10"/>
      <c r="O87" s="16" t="str">
        <f>IF(ISERROR(VLOOKUP(LEFT(P87,1),Master!$B$2:$C$4,2,FALSE)),"",VLOOKUP(LEFT(P87,1),Master!$B$2:$C$4,2,FALSE))</f>
        <v/>
      </c>
      <c r="P87" s="16"/>
      <c r="Q87" s="16"/>
      <c r="R87" s="16"/>
      <c r="S87" s="16"/>
      <c r="T87" s="16"/>
    </row>
    <row r="88" spans="1:20" ht="18">
      <c r="A88" s="6"/>
      <c r="B88" s="6"/>
      <c r="C88" s="6"/>
      <c r="D88" s="6"/>
      <c r="E88" s="6"/>
      <c r="F88" s="7"/>
      <c r="G88" s="6"/>
      <c r="H88" s="8"/>
      <c r="I88" s="8"/>
      <c r="J88" s="7"/>
      <c r="K88" s="7"/>
      <c r="L88" s="7"/>
      <c r="M88" s="6"/>
      <c r="N88" s="10"/>
      <c r="O88" s="16" t="str">
        <f>IF(ISERROR(VLOOKUP(LEFT(P88,1),Master!$B$2:$C$4,2,FALSE)),"",VLOOKUP(LEFT(P88,1),Master!$B$2:$C$4,2,FALSE))</f>
        <v/>
      </c>
      <c r="P88" s="16"/>
      <c r="Q88" s="16"/>
      <c r="R88" s="16"/>
      <c r="S88" s="16"/>
      <c r="T88" s="16"/>
    </row>
    <row r="89" spans="1:20" ht="18">
      <c r="A89" s="6"/>
      <c r="B89" s="6"/>
      <c r="C89" s="6"/>
      <c r="D89" s="6"/>
      <c r="E89" s="6"/>
      <c r="F89" s="7"/>
      <c r="G89" s="6"/>
      <c r="H89" s="8"/>
      <c r="I89" s="8"/>
      <c r="J89" s="7"/>
      <c r="K89" s="7"/>
      <c r="L89" s="7"/>
      <c r="M89" s="6"/>
      <c r="N89" s="10"/>
      <c r="O89" s="16" t="str">
        <f>IF(ISERROR(VLOOKUP(LEFT(P89,1),Master!$B$2:$C$4,2,FALSE)),"",VLOOKUP(LEFT(P89,1),Master!$B$2:$C$4,2,FALSE))</f>
        <v/>
      </c>
      <c r="P89" s="16"/>
      <c r="Q89" s="16"/>
      <c r="R89" s="16"/>
      <c r="S89" s="16"/>
      <c r="T89" s="16"/>
    </row>
    <row r="90" spans="1:20" ht="18">
      <c r="A90" s="6"/>
      <c r="B90" s="6"/>
      <c r="C90" s="6"/>
      <c r="D90" s="6"/>
      <c r="E90" s="6"/>
      <c r="F90" s="7"/>
      <c r="G90" s="6"/>
      <c r="H90" s="8"/>
      <c r="I90" s="8"/>
      <c r="J90" s="7"/>
      <c r="K90" s="7"/>
      <c r="L90" s="7"/>
      <c r="M90" s="6"/>
      <c r="N90" s="10"/>
      <c r="O90" s="16" t="str">
        <f>IF(ISERROR(VLOOKUP(LEFT(P90,1),Master!$B$2:$C$4,2,FALSE)),"",VLOOKUP(LEFT(P90,1),Master!$B$2:$C$4,2,FALSE))</f>
        <v/>
      </c>
      <c r="P90" s="16"/>
      <c r="Q90" s="16"/>
      <c r="R90" s="16"/>
      <c r="S90" s="16"/>
      <c r="T90" s="16"/>
    </row>
    <row r="91" spans="1:20" ht="18">
      <c r="A91" s="6"/>
      <c r="B91" s="6"/>
      <c r="C91" s="6"/>
      <c r="D91" s="6"/>
      <c r="E91" s="6"/>
      <c r="F91" s="7"/>
      <c r="G91" s="8"/>
      <c r="H91" s="6"/>
      <c r="I91" s="6"/>
      <c r="J91" s="7"/>
      <c r="K91" s="7"/>
      <c r="L91" s="7"/>
      <c r="M91" s="6"/>
      <c r="N91" s="10"/>
      <c r="O91" s="16" t="str">
        <f>IF(ISERROR(VLOOKUP(LEFT(P91,1),Master!$B$2:$C$4,2,FALSE)),"",VLOOKUP(LEFT(P91,1),Master!$B$2:$C$4,2,FALSE))</f>
        <v/>
      </c>
      <c r="P91" s="16"/>
      <c r="Q91" s="16"/>
      <c r="R91" s="16"/>
      <c r="S91" s="16"/>
      <c r="T91" s="16"/>
    </row>
    <row r="92" spans="1:20" ht="18">
      <c r="A92" s="6"/>
      <c r="B92" s="6"/>
      <c r="C92" s="6"/>
      <c r="D92" s="6"/>
      <c r="E92" s="6"/>
      <c r="F92" s="7"/>
      <c r="G92" s="8"/>
      <c r="H92" s="6"/>
      <c r="I92" s="6"/>
      <c r="J92" s="7"/>
      <c r="K92" s="7"/>
      <c r="L92" s="7"/>
      <c r="M92" s="6"/>
      <c r="N92" s="10"/>
      <c r="O92" s="16" t="str">
        <f>IF(ISERROR(VLOOKUP(LEFT(P92,1),Master!$B$2:$C$4,2,FALSE)),"",VLOOKUP(LEFT(P92,1),Master!$B$2:$C$4,2,FALSE))</f>
        <v/>
      </c>
      <c r="P92" s="16"/>
      <c r="Q92" s="16"/>
      <c r="R92" s="16"/>
      <c r="S92" s="16"/>
      <c r="T92" s="16"/>
    </row>
    <row r="93" spans="1:20" ht="18">
      <c r="A93" s="6"/>
      <c r="B93" s="6"/>
      <c r="C93" s="6"/>
      <c r="D93" s="6"/>
      <c r="E93" s="6"/>
      <c r="F93" s="7"/>
      <c r="G93" s="8"/>
      <c r="H93" s="6"/>
      <c r="I93" s="6"/>
      <c r="J93" s="7"/>
      <c r="K93" s="7"/>
      <c r="L93" s="7"/>
      <c r="M93" s="6"/>
      <c r="N93" s="10"/>
      <c r="O93" s="16" t="str">
        <f>IF(ISERROR(VLOOKUP(LEFT(P93,1),Master!$B$2:$C$4,2,FALSE)),"",VLOOKUP(LEFT(P93,1),Master!$B$2:$C$4,2,FALSE))</f>
        <v/>
      </c>
      <c r="P93" s="17"/>
      <c r="Q93" s="16"/>
      <c r="R93" s="16"/>
      <c r="S93" s="17"/>
      <c r="T93" s="10"/>
    </row>
    <row r="94" spans="1:20" ht="18">
      <c r="A94" s="6"/>
      <c r="B94" s="6"/>
      <c r="C94" s="6"/>
      <c r="D94" s="6"/>
      <c r="E94" s="6"/>
      <c r="F94" s="7"/>
      <c r="G94" s="8"/>
      <c r="H94" s="8"/>
      <c r="I94" s="8"/>
      <c r="J94" s="7"/>
      <c r="K94" s="7"/>
      <c r="L94" s="7"/>
      <c r="M94" s="6"/>
      <c r="N94" s="10"/>
      <c r="O94" s="16" t="str">
        <f>IF(ISERROR(VLOOKUP(LEFT(P94,1),Master!$B$2:$C$4,2,FALSE)),"",VLOOKUP(LEFT(P94,1),Master!$B$2:$C$4,2,FALSE))</f>
        <v/>
      </c>
      <c r="P94" s="16"/>
      <c r="Q94" s="16"/>
      <c r="R94" s="16"/>
      <c r="S94" s="16"/>
      <c r="T94" s="16"/>
    </row>
    <row r="95" spans="1:20" ht="18">
      <c r="A95" s="6"/>
      <c r="B95" s="6"/>
      <c r="C95" s="6"/>
      <c r="D95" s="6"/>
      <c r="E95" s="6"/>
      <c r="F95" s="7"/>
      <c r="G95" s="6"/>
      <c r="H95" s="8"/>
      <c r="I95" s="6"/>
      <c r="J95" s="7"/>
      <c r="K95" s="7"/>
      <c r="L95" s="7"/>
      <c r="M95" s="6"/>
      <c r="N95" s="10"/>
      <c r="O95" s="16" t="str">
        <f>IF(ISERROR(VLOOKUP(LEFT(P95,1),Master!$B$2:$C$4,2,FALSE)),"",VLOOKUP(LEFT(P95,1),Master!$B$2:$C$4,2,FALSE))</f>
        <v/>
      </c>
      <c r="P95" s="16"/>
      <c r="Q95" s="16"/>
      <c r="R95" s="16"/>
      <c r="S95" s="16"/>
      <c r="T95" s="16"/>
    </row>
    <row r="96" spans="1:20" ht="18">
      <c r="A96" s="6"/>
      <c r="B96" s="6"/>
      <c r="C96" s="6"/>
      <c r="D96" s="6"/>
      <c r="E96" s="6"/>
      <c r="F96" s="7"/>
      <c r="G96" s="6"/>
      <c r="H96" s="8"/>
      <c r="I96" s="8"/>
      <c r="J96" s="7"/>
      <c r="K96" s="7"/>
      <c r="L96" s="7"/>
      <c r="M96" s="6"/>
      <c r="N96" s="10"/>
      <c r="O96" s="16" t="str">
        <f>IF(ISERROR(VLOOKUP(LEFT(P96,1),Master!$B$2:$C$4,2,FALSE)),"",VLOOKUP(LEFT(P96,1),Master!$B$2:$C$4,2,FALSE))</f>
        <v/>
      </c>
      <c r="P96" s="16"/>
      <c r="Q96" s="16"/>
      <c r="R96" s="16"/>
      <c r="S96" s="16"/>
      <c r="T96" s="16"/>
    </row>
    <row r="97" spans="1:20" ht="18">
      <c r="A97" s="6"/>
      <c r="B97" s="6"/>
      <c r="C97" s="6"/>
      <c r="D97" s="6"/>
      <c r="E97" s="6"/>
      <c r="F97" s="7"/>
      <c r="G97" s="6"/>
      <c r="H97" s="8"/>
      <c r="I97" s="6"/>
      <c r="J97" s="7"/>
      <c r="K97" s="7"/>
      <c r="L97" s="7"/>
      <c r="M97" s="6"/>
      <c r="N97" s="10"/>
      <c r="O97" s="16" t="str">
        <f>IF(ISERROR(VLOOKUP(LEFT(P97,1),Master!$B$2:$C$4,2,FALSE)),"",VLOOKUP(LEFT(P97,1),Master!$B$2:$C$4,2,FALSE))</f>
        <v/>
      </c>
      <c r="P97" s="16"/>
      <c r="Q97" s="16"/>
      <c r="R97" s="16"/>
      <c r="S97" s="16"/>
      <c r="T97" s="16"/>
    </row>
    <row r="98" spans="1:20" ht="18">
      <c r="A98" s="6"/>
      <c r="B98" s="6"/>
      <c r="C98" s="6"/>
      <c r="D98" s="6"/>
      <c r="E98" s="6"/>
      <c r="F98" s="7"/>
      <c r="G98" s="6"/>
      <c r="H98" s="8"/>
      <c r="I98" s="6"/>
      <c r="J98" s="7"/>
      <c r="K98" s="7"/>
      <c r="L98" s="7"/>
      <c r="M98" s="6"/>
      <c r="N98" s="10"/>
      <c r="O98" s="16" t="str">
        <f>IF(ISERROR(VLOOKUP(LEFT(P98,1),Master!$B$2:$C$4,2,FALSE)),"",VLOOKUP(LEFT(P98,1),Master!$B$2:$C$4,2,FALSE))</f>
        <v/>
      </c>
      <c r="P98" s="16"/>
      <c r="Q98" s="16"/>
      <c r="R98" s="16"/>
      <c r="S98" s="16"/>
      <c r="T98" s="16"/>
    </row>
    <row r="99" spans="1:20" ht="18">
      <c r="A99" s="6"/>
      <c r="B99" s="6"/>
      <c r="C99" s="6"/>
      <c r="D99" s="6"/>
      <c r="E99" s="6"/>
      <c r="F99" s="7"/>
      <c r="G99" s="8"/>
      <c r="H99" s="6"/>
      <c r="I99" s="6"/>
      <c r="J99" s="7"/>
      <c r="K99" s="7"/>
      <c r="L99" s="7"/>
      <c r="M99" s="6"/>
      <c r="N99" s="10"/>
      <c r="O99" s="16" t="str">
        <f>IF(ISERROR(VLOOKUP(LEFT(P99,1),Master!$B$2:$C$4,2,FALSE)),"",VLOOKUP(LEFT(P99,1),Master!$B$2:$C$4,2,FALSE))</f>
        <v/>
      </c>
      <c r="P99" s="16"/>
      <c r="Q99" s="16"/>
      <c r="R99" s="16"/>
      <c r="S99" s="16"/>
      <c r="T99" s="16"/>
    </row>
    <row r="100" spans="1:20" ht="18">
      <c r="A100" s="6"/>
      <c r="B100" s="6"/>
      <c r="C100" s="6"/>
      <c r="D100" s="6"/>
      <c r="E100" s="6"/>
      <c r="F100" s="7"/>
      <c r="G100" s="8"/>
      <c r="H100" s="6"/>
      <c r="I100" s="6"/>
      <c r="J100" s="7"/>
      <c r="K100" s="7"/>
      <c r="L100" s="7"/>
      <c r="M100" s="6"/>
      <c r="N100" s="10"/>
      <c r="O100" s="16" t="str">
        <f>IF(ISERROR(VLOOKUP(LEFT(P100,1),Master!$B$2:$C$4,2,FALSE)),"",VLOOKUP(LEFT(P100,1),Master!$B$2:$C$4,2,FALSE))</f>
        <v/>
      </c>
      <c r="P100" s="16"/>
      <c r="Q100" s="16"/>
      <c r="R100" s="16"/>
      <c r="S100" s="16"/>
      <c r="T100" s="16"/>
    </row>
    <row r="101" spans="1:20" ht="18">
      <c r="A101" s="6"/>
      <c r="B101" s="6"/>
      <c r="C101" s="6"/>
      <c r="D101" s="6"/>
      <c r="E101" s="6"/>
      <c r="F101" s="7"/>
      <c r="G101" s="6"/>
      <c r="H101" s="8"/>
      <c r="I101" s="6"/>
      <c r="J101" s="7"/>
      <c r="K101" s="7"/>
      <c r="L101" s="7"/>
      <c r="M101" s="6"/>
      <c r="N101" s="10"/>
      <c r="O101" s="16" t="str">
        <f>IF(ISERROR(VLOOKUP(LEFT(P101,1),Master!$B$2:$C$4,2,FALSE)),"",VLOOKUP(LEFT(P101,1),Master!$B$2:$C$4,2,FALSE))</f>
        <v/>
      </c>
      <c r="P101" s="16"/>
      <c r="Q101" s="16"/>
      <c r="R101" s="16"/>
      <c r="S101" s="16"/>
      <c r="T101" s="16"/>
    </row>
    <row r="102" spans="1:20" ht="18">
      <c r="A102" s="6"/>
      <c r="B102" s="6"/>
      <c r="C102" s="6"/>
      <c r="D102" s="6"/>
      <c r="E102" s="6"/>
      <c r="F102" s="7"/>
      <c r="G102" s="6"/>
      <c r="H102" s="8"/>
      <c r="I102" s="6"/>
      <c r="J102" s="7"/>
      <c r="K102" s="7"/>
      <c r="L102" s="7"/>
      <c r="M102" s="6"/>
      <c r="N102" s="10"/>
      <c r="O102" s="16" t="str">
        <f>IF(ISERROR(VLOOKUP(LEFT(P102,1),Master!$B$2:$C$4,2,FALSE)),"",VLOOKUP(LEFT(P102,1),Master!$B$2:$C$4,2,FALSE))</f>
        <v/>
      </c>
      <c r="P102" s="16"/>
      <c r="Q102" s="16"/>
      <c r="R102" s="16"/>
      <c r="S102" s="16"/>
      <c r="T102" s="16"/>
    </row>
    <row r="103" spans="1:20" ht="18">
      <c r="A103" s="6"/>
      <c r="B103" s="6"/>
      <c r="C103" s="6"/>
      <c r="D103" s="6"/>
      <c r="E103" s="6"/>
      <c r="F103" s="7"/>
      <c r="G103" s="6"/>
      <c r="H103" s="8"/>
      <c r="I103" s="6"/>
      <c r="J103" s="7"/>
      <c r="K103" s="7"/>
      <c r="L103" s="7"/>
      <c r="M103" s="6"/>
      <c r="N103" s="10"/>
      <c r="O103" s="16" t="str">
        <f>IF(ISERROR(VLOOKUP(LEFT(P103,1),Master!$B$2:$C$4,2,FALSE)),"",VLOOKUP(LEFT(P103,1),Master!$B$2:$C$4,2,FALSE))</f>
        <v/>
      </c>
      <c r="P103" s="16"/>
      <c r="Q103" s="16"/>
      <c r="R103" s="16"/>
      <c r="S103" s="16"/>
      <c r="T103" s="16"/>
    </row>
    <row r="104" spans="1:20" ht="18">
      <c r="A104" s="6"/>
      <c r="B104" s="6"/>
      <c r="C104" s="6"/>
      <c r="D104" s="6"/>
      <c r="E104" s="6"/>
      <c r="F104" s="7"/>
      <c r="G104" s="6"/>
      <c r="H104" s="8"/>
      <c r="I104" s="6"/>
      <c r="J104" s="7"/>
      <c r="K104" s="7"/>
      <c r="L104" s="7"/>
      <c r="M104" s="6"/>
      <c r="N104" s="10"/>
      <c r="O104" s="16" t="str">
        <f>IF(ISERROR(VLOOKUP(LEFT(P104,1),Master!$B$2:$C$4,2,FALSE)),"",VLOOKUP(LEFT(P104,1),Master!$B$2:$C$4,2,FALSE))</f>
        <v/>
      </c>
      <c r="P104" s="16"/>
      <c r="Q104" s="16"/>
      <c r="R104" s="16"/>
      <c r="S104" s="16"/>
      <c r="T104" s="16"/>
    </row>
    <row r="105" spans="1:20" ht="18">
      <c r="A105" s="6"/>
      <c r="B105" s="6"/>
      <c r="C105" s="6"/>
      <c r="D105" s="6"/>
      <c r="E105" s="6"/>
      <c r="F105" s="7"/>
      <c r="G105" s="6"/>
      <c r="H105" s="8"/>
      <c r="I105" s="6"/>
      <c r="J105" s="7"/>
      <c r="K105" s="7"/>
      <c r="L105" s="7"/>
      <c r="M105" s="6"/>
      <c r="N105" s="10"/>
      <c r="O105" s="16" t="str">
        <f>IF(ISERROR(VLOOKUP(LEFT(P105,1),Master!$B$2:$C$4,2,FALSE)),"",VLOOKUP(LEFT(P105,1),Master!$B$2:$C$4,2,FALSE))</f>
        <v/>
      </c>
      <c r="P105" s="16"/>
      <c r="Q105" s="16"/>
      <c r="R105" s="16"/>
      <c r="S105" s="16"/>
      <c r="T105" s="16"/>
    </row>
    <row r="106" spans="1:20" ht="18">
      <c r="A106" s="6"/>
      <c r="B106" s="6"/>
      <c r="C106" s="6"/>
      <c r="D106" s="6"/>
      <c r="E106" s="6"/>
      <c r="F106" s="7"/>
      <c r="G106" s="8"/>
      <c r="H106" s="8"/>
      <c r="I106" s="8"/>
      <c r="J106" s="7"/>
      <c r="K106" s="7"/>
      <c r="L106" s="7"/>
      <c r="M106" s="6"/>
      <c r="N106" s="10"/>
      <c r="O106" s="16" t="str">
        <f>IF(ISERROR(VLOOKUP(LEFT(P106,1),Master!$B$2:$C$4,2,FALSE)),"",VLOOKUP(LEFT(P106,1),Master!$B$2:$C$4,2,FALSE))</f>
        <v/>
      </c>
      <c r="P106" s="16"/>
      <c r="Q106" s="16"/>
      <c r="R106" s="16"/>
      <c r="S106" s="16"/>
      <c r="T106" s="16"/>
    </row>
    <row r="107" spans="1:20" ht="18">
      <c r="A107" s="6"/>
      <c r="B107" s="6"/>
      <c r="C107" s="6"/>
      <c r="D107" s="6"/>
      <c r="E107" s="6"/>
      <c r="F107" s="7"/>
      <c r="G107" s="8"/>
      <c r="H107" s="8"/>
      <c r="I107" s="8"/>
      <c r="J107" s="7"/>
      <c r="K107" s="7"/>
      <c r="L107" s="7"/>
      <c r="M107" s="6"/>
      <c r="N107" s="10"/>
      <c r="O107" s="16" t="str">
        <f>IF(ISERROR(VLOOKUP(LEFT(P107,1),Master!$B$2:$C$4,2,FALSE)),"",VLOOKUP(LEFT(P107,1),Master!$B$2:$C$4,2,FALSE))</f>
        <v/>
      </c>
      <c r="P107" s="16"/>
      <c r="Q107" s="16"/>
      <c r="R107" s="16"/>
      <c r="S107" s="16"/>
      <c r="T107" s="16"/>
    </row>
    <row r="108" spans="1:20" ht="18">
      <c r="A108" s="6"/>
      <c r="B108" s="6"/>
      <c r="C108" s="6"/>
      <c r="D108" s="6"/>
      <c r="E108" s="6"/>
      <c r="F108" s="7"/>
      <c r="G108" s="8"/>
      <c r="H108" s="8"/>
      <c r="I108" s="8"/>
      <c r="J108" s="7"/>
      <c r="K108" s="7"/>
      <c r="L108" s="7"/>
      <c r="M108" s="6"/>
      <c r="N108" s="10"/>
      <c r="O108" s="16" t="str">
        <f>IF(ISERROR(VLOOKUP(LEFT(P108,1),Master!$B$2:$C$4,2,FALSE)),"",VLOOKUP(LEFT(P108,1),Master!$B$2:$C$4,2,FALSE))</f>
        <v/>
      </c>
      <c r="P108" s="16"/>
      <c r="Q108" s="16"/>
      <c r="R108" s="16"/>
      <c r="S108" s="16"/>
      <c r="T108" s="16"/>
    </row>
    <row r="109" spans="1:20" ht="18">
      <c r="A109" s="6"/>
      <c r="B109" s="6"/>
      <c r="C109" s="6"/>
      <c r="D109" s="6"/>
      <c r="E109" s="6"/>
      <c r="F109" s="7"/>
      <c r="G109" s="8"/>
      <c r="H109" s="8"/>
      <c r="I109" s="8"/>
      <c r="J109" s="7"/>
      <c r="K109" s="7"/>
      <c r="L109" s="7"/>
      <c r="M109" s="6"/>
      <c r="N109" s="10"/>
      <c r="O109" s="16" t="str">
        <f>IF(ISERROR(VLOOKUP(LEFT(P109,1),Master!$B$2:$C$4,2,FALSE)),"",VLOOKUP(LEFT(P109,1),Master!$B$2:$C$4,2,FALSE))</f>
        <v/>
      </c>
      <c r="P109" s="16"/>
      <c r="Q109" s="16"/>
      <c r="R109" s="16"/>
      <c r="S109" s="16"/>
      <c r="T109" s="16"/>
    </row>
    <row r="110" spans="1:20" ht="18">
      <c r="A110" s="6"/>
      <c r="B110" s="6"/>
      <c r="C110" s="6"/>
      <c r="D110" s="6"/>
      <c r="E110" s="6"/>
      <c r="F110" s="7"/>
      <c r="G110" s="8"/>
      <c r="H110" s="8"/>
      <c r="I110" s="8"/>
      <c r="J110" s="7"/>
      <c r="K110" s="7"/>
      <c r="L110" s="7"/>
      <c r="M110" s="6"/>
      <c r="N110" s="10"/>
      <c r="O110" s="16" t="str">
        <f>IF(ISERROR(VLOOKUP(LEFT(P110,1),Master!$B$2:$C$4,2,FALSE)),"",VLOOKUP(LEFT(P110,1),Master!$B$2:$C$4,2,FALSE))</f>
        <v/>
      </c>
      <c r="P110" s="16"/>
      <c r="Q110" s="16"/>
      <c r="R110" s="16"/>
      <c r="S110" s="16"/>
      <c r="T110" s="16"/>
    </row>
    <row r="111" spans="1:20" ht="18">
      <c r="A111" s="6"/>
      <c r="B111" s="6"/>
      <c r="C111" s="6"/>
      <c r="D111" s="6"/>
      <c r="E111" s="6"/>
      <c r="F111" s="7"/>
      <c r="G111" s="8"/>
      <c r="H111" s="8"/>
      <c r="I111" s="8"/>
      <c r="J111" s="7"/>
      <c r="K111" s="7"/>
      <c r="L111" s="7"/>
      <c r="M111" s="6"/>
      <c r="N111" s="10"/>
      <c r="O111" s="16" t="str">
        <f>IF(ISERROR(VLOOKUP(LEFT(P111,1),Master!$B$2:$C$4,2,FALSE)),"",VLOOKUP(LEFT(P111,1),Master!$B$2:$C$4,2,FALSE))</f>
        <v/>
      </c>
      <c r="P111" s="16"/>
      <c r="Q111" s="16"/>
      <c r="R111" s="16"/>
      <c r="S111" s="16"/>
      <c r="T111" s="16"/>
    </row>
    <row r="112" spans="1:20" ht="18">
      <c r="A112" s="6"/>
      <c r="B112" s="6"/>
      <c r="C112" s="6"/>
      <c r="D112" s="6"/>
      <c r="E112" s="6"/>
      <c r="F112" s="7"/>
      <c r="G112" s="8"/>
      <c r="H112" s="8"/>
      <c r="I112" s="8"/>
      <c r="J112" s="7"/>
      <c r="K112" s="7"/>
      <c r="L112" s="7"/>
      <c r="M112" s="6"/>
      <c r="N112" s="10"/>
      <c r="O112" s="16" t="str">
        <f>IF(ISERROR(VLOOKUP(LEFT(P112,1),Master!$B$2:$C$4,2,FALSE)),"",VLOOKUP(LEFT(P112,1),Master!$B$2:$C$4,2,FALSE))</f>
        <v/>
      </c>
      <c r="P112" s="16"/>
      <c r="Q112" s="16"/>
      <c r="R112" s="16"/>
      <c r="S112" s="16"/>
      <c r="T112" s="16"/>
    </row>
  </sheetData>
  <phoneticPr fontId="16"/>
  <conditionalFormatting sqref="O1:P1">
    <cfRule type="notContainsBlanks" dxfId="0" priority="1">
      <formula>LEN(TRIM(O1))&gt;0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Master!$H$2:$H$4</xm:f>
          </x14:formula1>
          <xm:sqref>S1:S112</xm:sqref>
        </x14:dataValidation>
        <x14:dataValidation type="list" allowBlank="1" xr:uid="{00000000-0002-0000-0200-000001000000}">
          <x14:formula1>
            <xm:f>Master!$A$2:$A$10</xm:f>
          </x14:formula1>
          <xm:sqref>P1:P112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51"/>
  <sheetViews>
    <sheetView workbookViewId="0"/>
  </sheetViews>
  <sheetFormatPr defaultColWidth="14.44140625" defaultRowHeight="15.75" customHeight="1"/>
  <cols>
    <col min="2" max="2" width="19.6640625" customWidth="1"/>
    <col min="14" max="14" width="15.109375" customWidth="1"/>
    <col min="15" max="15" width="16.6640625" customWidth="1"/>
    <col min="16" max="16" width="20.109375" customWidth="1"/>
    <col min="17" max="17" width="30.88671875" customWidth="1"/>
  </cols>
  <sheetData>
    <row r="1" spans="1:25" ht="15.7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12</v>
      </c>
      <c r="K1" s="4" t="s">
        <v>13</v>
      </c>
      <c r="L1" s="18" t="s">
        <v>14</v>
      </c>
      <c r="M1" s="5" t="s">
        <v>25</v>
      </c>
      <c r="N1" s="19" t="s">
        <v>18</v>
      </c>
      <c r="O1" s="19" t="s">
        <v>26</v>
      </c>
      <c r="P1" s="19" t="s">
        <v>27</v>
      </c>
      <c r="Q1" s="19" t="s">
        <v>28</v>
      </c>
      <c r="R1" s="19" t="s">
        <v>29</v>
      </c>
      <c r="S1" s="19" t="s">
        <v>30</v>
      </c>
      <c r="T1" s="19" t="s">
        <v>22</v>
      </c>
      <c r="U1" s="19" t="s">
        <v>31</v>
      </c>
      <c r="V1" s="19" t="s">
        <v>32</v>
      </c>
      <c r="W1" s="19" t="s">
        <v>33</v>
      </c>
      <c r="X1" s="19" t="s">
        <v>34</v>
      </c>
      <c r="Y1" s="19" t="s">
        <v>35</v>
      </c>
    </row>
    <row r="2" spans="1:25" ht="15.75" customHeight="1">
      <c r="A2" s="6"/>
      <c r="B2" s="6"/>
      <c r="C2" s="6"/>
      <c r="D2" s="6"/>
      <c r="E2" s="6"/>
      <c r="F2" s="7"/>
      <c r="G2" s="8"/>
      <c r="H2" s="8"/>
      <c r="I2" s="8"/>
      <c r="J2" s="7"/>
      <c r="K2" s="7"/>
      <c r="L2" s="9"/>
      <c r="M2" s="6"/>
      <c r="N2" s="10"/>
      <c r="O2" s="16"/>
      <c r="P2" s="17"/>
      <c r="Q2" s="10"/>
      <c r="R2" s="16"/>
      <c r="S2" s="16"/>
      <c r="T2" s="16"/>
      <c r="U2" s="16" t="str">
        <f>Master!$R$2 &amp;C2&amp;Master!$R$3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" s="20" t="e">
        <f t="shared" ref="V2:V51" si="0">HYPERLINK(U2, "link")</f>
        <v>#VALUE!</v>
      </c>
      <c r="W2" s="16"/>
      <c r="X2" s="16"/>
      <c r="Y2" s="16"/>
    </row>
    <row r="3" spans="1:25" ht="15.75" customHeight="1">
      <c r="A3" s="6"/>
      <c r="B3" s="6"/>
      <c r="C3" s="6"/>
      <c r="D3" s="6"/>
      <c r="E3" s="6"/>
      <c r="F3" s="7"/>
      <c r="G3" s="8"/>
      <c r="H3" s="8"/>
      <c r="I3" s="8"/>
      <c r="J3" s="7"/>
      <c r="K3" s="7"/>
      <c r="L3" s="9"/>
      <c r="M3" s="6"/>
      <c r="N3" s="10"/>
      <c r="O3" s="16"/>
      <c r="P3" s="17"/>
      <c r="Q3" s="21"/>
      <c r="R3" s="16"/>
      <c r="S3" s="16"/>
      <c r="T3" s="16"/>
      <c r="U3" s="16" t="str">
        <f>Master!$R$2 &amp;C3&amp;Master!$R$3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" s="20" t="e">
        <f t="shared" si="0"/>
        <v>#VALUE!</v>
      </c>
      <c r="W3" s="16"/>
      <c r="X3" s="16"/>
      <c r="Y3" s="16"/>
    </row>
    <row r="4" spans="1:25" ht="15.75" customHeight="1">
      <c r="A4" s="6"/>
      <c r="B4" s="6"/>
      <c r="C4" s="6"/>
      <c r="D4" s="6"/>
      <c r="E4" s="6"/>
      <c r="F4" s="7"/>
      <c r="G4" s="8"/>
      <c r="H4" s="8"/>
      <c r="I4" s="8"/>
      <c r="J4" s="7"/>
      <c r="K4" s="7"/>
      <c r="L4" s="9"/>
      <c r="M4" s="6"/>
      <c r="N4" s="10"/>
      <c r="O4" s="16"/>
      <c r="P4" s="17"/>
      <c r="Q4" s="10"/>
      <c r="R4" s="16"/>
      <c r="S4" s="16"/>
      <c r="T4" s="16"/>
      <c r="U4" s="16" t="str">
        <f>Master!$R$2 &amp;C4&amp;Master!$R$3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" s="20" t="e">
        <f t="shared" si="0"/>
        <v>#VALUE!</v>
      </c>
      <c r="W4" s="16"/>
      <c r="X4" s="16"/>
      <c r="Y4" s="16"/>
    </row>
    <row r="5" spans="1:25" ht="15.75" customHeight="1">
      <c r="A5" s="6"/>
      <c r="B5" s="6"/>
      <c r="C5" s="6"/>
      <c r="D5" s="6"/>
      <c r="E5" s="6"/>
      <c r="F5" s="7"/>
      <c r="G5" s="8"/>
      <c r="H5" s="8"/>
      <c r="I5" s="8"/>
      <c r="J5" s="7"/>
      <c r="K5" s="7"/>
      <c r="L5" s="9"/>
      <c r="M5" s="6"/>
      <c r="N5" s="10"/>
      <c r="O5" s="16"/>
      <c r="P5" s="17"/>
      <c r="Q5" s="10"/>
      <c r="R5" s="16"/>
      <c r="S5" s="16"/>
      <c r="T5" s="16"/>
      <c r="U5" s="16" t="str">
        <f>Master!$R$2 &amp;C5&amp;Master!$R$3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5" s="20" t="e">
        <f t="shared" si="0"/>
        <v>#VALUE!</v>
      </c>
      <c r="W5" s="16"/>
      <c r="X5" s="16"/>
      <c r="Y5" s="16"/>
    </row>
    <row r="6" spans="1:25" ht="15.75" customHeight="1">
      <c r="A6" s="6"/>
      <c r="B6" s="6"/>
      <c r="C6" s="6"/>
      <c r="D6" s="6"/>
      <c r="E6" s="6"/>
      <c r="F6" s="7"/>
      <c r="G6" s="8"/>
      <c r="H6" s="8"/>
      <c r="I6" s="8"/>
      <c r="J6" s="7"/>
      <c r="K6" s="7"/>
      <c r="L6" s="9"/>
      <c r="M6" s="6"/>
      <c r="N6" s="10"/>
      <c r="O6" s="16"/>
      <c r="P6" s="17"/>
      <c r="Q6" s="10"/>
      <c r="R6" s="17"/>
      <c r="S6" s="16"/>
      <c r="T6" s="16"/>
      <c r="U6" s="16" t="str">
        <f>Master!$R$2 &amp;C6&amp;Master!$R$3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6" s="20" t="e">
        <f t="shared" si="0"/>
        <v>#VALUE!</v>
      </c>
      <c r="W6" s="16"/>
      <c r="X6" s="16"/>
      <c r="Y6" s="16"/>
    </row>
    <row r="7" spans="1:25" ht="15.75" customHeight="1">
      <c r="A7" s="6"/>
      <c r="B7" s="6"/>
      <c r="C7" s="6"/>
      <c r="D7" s="6"/>
      <c r="E7" s="6"/>
      <c r="F7" s="7"/>
      <c r="G7" s="8"/>
      <c r="H7" s="6"/>
      <c r="I7" s="6"/>
      <c r="J7" s="7"/>
      <c r="K7" s="7"/>
      <c r="L7" s="9"/>
      <c r="M7" s="6"/>
      <c r="N7" s="10"/>
      <c r="O7" s="16"/>
      <c r="P7" s="16"/>
      <c r="Q7" s="16"/>
      <c r="R7" s="16"/>
      <c r="S7" s="16"/>
      <c r="T7" s="16"/>
      <c r="U7" s="16" t="str">
        <f>Master!$R$2 &amp;C7&amp;Master!$R$3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7" s="20" t="e">
        <f t="shared" si="0"/>
        <v>#VALUE!</v>
      </c>
      <c r="W7" s="16"/>
      <c r="X7" s="16"/>
      <c r="Y7" s="16"/>
    </row>
    <row r="8" spans="1:25" ht="15.75" customHeight="1">
      <c r="A8" s="6"/>
      <c r="B8" s="6"/>
      <c r="C8" s="6"/>
      <c r="D8" s="6"/>
      <c r="E8" s="6"/>
      <c r="F8" s="7"/>
      <c r="G8" s="8"/>
      <c r="H8" s="6"/>
      <c r="I8" s="6"/>
      <c r="J8" s="7"/>
      <c r="K8" s="7"/>
      <c r="L8" s="9"/>
      <c r="M8" s="6"/>
      <c r="N8" s="10"/>
      <c r="O8" s="16"/>
      <c r="P8" s="17"/>
      <c r="Q8" s="16"/>
      <c r="R8" s="16"/>
      <c r="S8" s="16"/>
      <c r="T8" s="16"/>
      <c r="U8" s="16" t="str">
        <f>Master!$R$2 &amp;C8&amp;Master!$R$3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8" s="20" t="e">
        <f t="shared" si="0"/>
        <v>#VALUE!</v>
      </c>
      <c r="W8" s="16"/>
      <c r="X8" s="16"/>
      <c r="Y8" s="16"/>
    </row>
    <row r="9" spans="1:25" ht="15.75" customHeight="1">
      <c r="A9" s="6"/>
      <c r="B9" s="6"/>
      <c r="C9" s="6"/>
      <c r="D9" s="6"/>
      <c r="E9" s="6"/>
      <c r="F9" s="7"/>
      <c r="G9" s="8"/>
      <c r="H9" s="6"/>
      <c r="I9" s="6"/>
      <c r="J9" s="7"/>
      <c r="K9" s="7"/>
      <c r="L9" s="9"/>
      <c r="M9" s="6"/>
      <c r="N9" s="10"/>
      <c r="O9" s="16"/>
      <c r="P9" s="17"/>
      <c r="Q9" s="16"/>
      <c r="R9" s="16"/>
      <c r="S9" s="16"/>
      <c r="T9" s="16"/>
      <c r="U9" s="16" t="str">
        <f>Master!$R$2 &amp;C9&amp;Master!$R$3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9" s="20" t="e">
        <f t="shared" si="0"/>
        <v>#VALUE!</v>
      </c>
      <c r="W9" s="16"/>
      <c r="X9" s="16"/>
      <c r="Y9" s="16"/>
    </row>
    <row r="10" spans="1:25" ht="15.75" customHeight="1">
      <c r="A10" s="6"/>
      <c r="B10" s="8"/>
      <c r="C10" s="6"/>
      <c r="D10" s="6"/>
      <c r="E10" s="6"/>
      <c r="F10" s="7"/>
      <c r="G10" s="6"/>
      <c r="H10" s="8"/>
      <c r="I10" s="8"/>
      <c r="J10" s="7"/>
      <c r="K10" s="7"/>
      <c r="L10" s="9"/>
      <c r="M10" s="6"/>
      <c r="N10" s="10"/>
      <c r="O10" s="16"/>
      <c r="P10" s="17"/>
      <c r="Q10" s="10"/>
      <c r="R10" s="17"/>
      <c r="S10" s="16"/>
      <c r="T10" s="16"/>
      <c r="U10" s="16" t="str">
        <f>Master!$R$2 &amp;C10&amp;Master!$R$3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0" s="20" t="e">
        <f t="shared" si="0"/>
        <v>#VALUE!</v>
      </c>
      <c r="W10" s="16"/>
      <c r="X10" s="16"/>
      <c r="Y10" s="16"/>
    </row>
    <row r="11" spans="1:25" ht="15.75" customHeight="1">
      <c r="A11" s="6"/>
      <c r="B11" s="6"/>
      <c r="C11" s="6"/>
      <c r="D11" s="6"/>
      <c r="E11" s="6"/>
      <c r="F11" s="7"/>
      <c r="G11" s="8"/>
      <c r="H11" s="6"/>
      <c r="I11" s="6"/>
      <c r="J11" s="7"/>
      <c r="K11" s="7"/>
      <c r="L11" s="9"/>
      <c r="M11" s="6"/>
      <c r="N11" s="10"/>
      <c r="O11" s="16"/>
      <c r="P11" s="17"/>
      <c r="Q11" s="10"/>
      <c r="R11" s="17"/>
      <c r="S11" s="16"/>
      <c r="T11" s="16"/>
      <c r="U11" s="16" t="str">
        <f>Master!$R$2 &amp;C11&amp;Master!$R$3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1" s="20" t="e">
        <f t="shared" si="0"/>
        <v>#VALUE!</v>
      </c>
      <c r="W11" s="16"/>
      <c r="X11" s="16"/>
      <c r="Y11" s="16"/>
    </row>
    <row r="12" spans="1:25" ht="15.75" customHeight="1">
      <c r="A12" s="6"/>
      <c r="B12" s="6"/>
      <c r="C12" s="6"/>
      <c r="D12" s="6"/>
      <c r="E12" s="6"/>
      <c r="F12" s="7"/>
      <c r="G12" s="6"/>
      <c r="H12" s="8"/>
      <c r="I12" s="6"/>
      <c r="J12" s="7"/>
      <c r="K12" s="7"/>
      <c r="L12" s="9"/>
      <c r="M12" s="6"/>
      <c r="N12" s="10"/>
      <c r="O12" s="16"/>
      <c r="P12" s="16"/>
      <c r="Q12" s="16"/>
      <c r="R12" s="16"/>
      <c r="S12" s="16"/>
      <c r="T12" s="16"/>
      <c r="U12" s="16" t="str">
        <f>Master!$R$2 &amp;C12&amp;Master!$R$3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2" s="20" t="e">
        <f t="shared" si="0"/>
        <v>#VALUE!</v>
      </c>
      <c r="W12" s="16"/>
      <c r="X12" s="16"/>
      <c r="Y12" s="16"/>
    </row>
    <row r="13" spans="1:25" ht="15.75" customHeight="1">
      <c r="A13" s="6"/>
      <c r="B13" s="6"/>
      <c r="C13" s="6"/>
      <c r="D13" s="6"/>
      <c r="E13" s="6"/>
      <c r="F13" s="7"/>
      <c r="G13" s="6"/>
      <c r="H13" s="8"/>
      <c r="I13" s="6"/>
      <c r="J13" s="7"/>
      <c r="K13" s="7"/>
      <c r="L13" s="9"/>
      <c r="M13" s="6"/>
      <c r="N13" s="10"/>
      <c r="O13" s="16"/>
      <c r="P13" s="16"/>
      <c r="Q13" s="16"/>
      <c r="R13" s="16"/>
      <c r="S13" s="16"/>
      <c r="T13" s="16"/>
      <c r="U13" s="16" t="str">
        <f>Master!$R$2 &amp;C13&amp;Master!$R$3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3" s="20" t="e">
        <f t="shared" si="0"/>
        <v>#VALUE!</v>
      </c>
      <c r="W13" s="16"/>
      <c r="X13" s="16"/>
      <c r="Y13" s="16"/>
    </row>
    <row r="14" spans="1:25" ht="15.75" customHeight="1">
      <c r="A14" s="6"/>
      <c r="B14" s="6"/>
      <c r="C14" s="6"/>
      <c r="D14" s="6"/>
      <c r="E14" s="6"/>
      <c r="F14" s="7"/>
      <c r="G14" s="6"/>
      <c r="H14" s="8"/>
      <c r="I14" s="6"/>
      <c r="J14" s="7"/>
      <c r="K14" s="7"/>
      <c r="L14" s="9"/>
      <c r="M14" s="6"/>
      <c r="N14" s="10"/>
      <c r="O14" s="16"/>
      <c r="P14" s="16"/>
      <c r="Q14" s="16"/>
      <c r="R14" s="16"/>
      <c r="S14" s="16"/>
      <c r="T14" s="16"/>
      <c r="U14" s="16" t="str">
        <f>Master!$R$2 &amp;C14&amp;Master!$R$3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4" s="20" t="e">
        <f t="shared" si="0"/>
        <v>#VALUE!</v>
      </c>
      <c r="W14" s="16"/>
      <c r="X14" s="16"/>
      <c r="Y14" s="16"/>
    </row>
    <row r="15" spans="1:25" ht="15.75" customHeight="1">
      <c r="A15" s="6"/>
      <c r="B15" s="6"/>
      <c r="C15" s="6"/>
      <c r="D15" s="6"/>
      <c r="E15" s="6"/>
      <c r="F15" s="7"/>
      <c r="G15" s="8"/>
      <c r="H15" s="6"/>
      <c r="I15" s="6"/>
      <c r="J15" s="7"/>
      <c r="K15" s="7"/>
      <c r="L15" s="9"/>
      <c r="M15" s="6"/>
      <c r="N15" s="10"/>
      <c r="O15" s="16"/>
      <c r="P15" s="17"/>
      <c r="Q15" s="10"/>
      <c r="R15" s="17"/>
      <c r="S15" s="16"/>
      <c r="T15" s="16"/>
      <c r="U15" s="16" t="str">
        <f>Master!$R$2 &amp;C15&amp;Master!$R$3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5" s="20" t="e">
        <f t="shared" si="0"/>
        <v>#VALUE!</v>
      </c>
      <c r="W15" s="16"/>
      <c r="X15" s="16"/>
      <c r="Y15" s="16"/>
    </row>
    <row r="16" spans="1:25" ht="15.75" customHeight="1">
      <c r="A16" s="6"/>
      <c r="B16" s="6"/>
      <c r="C16" s="6"/>
      <c r="D16" s="6"/>
      <c r="E16" s="6"/>
      <c r="F16" s="7"/>
      <c r="G16" s="6"/>
      <c r="H16" s="8"/>
      <c r="I16" s="6"/>
      <c r="J16" s="7"/>
      <c r="K16" s="7"/>
      <c r="L16" s="9"/>
      <c r="M16" s="6"/>
      <c r="N16" s="10"/>
      <c r="O16" s="16"/>
      <c r="P16" s="17"/>
      <c r="Q16" s="10"/>
      <c r="R16" s="17"/>
      <c r="S16" s="16"/>
      <c r="T16" s="16"/>
      <c r="U16" s="16" t="str">
        <f>Master!$R$2 &amp;C16&amp;Master!$R$3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6" s="20" t="e">
        <f t="shared" si="0"/>
        <v>#VALUE!</v>
      </c>
      <c r="W16" s="16"/>
      <c r="X16" s="16"/>
      <c r="Y16" s="16"/>
    </row>
    <row r="17" spans="1:25" ht="15.75" customHeight="1">
      <c r="A17" s="6"/>
      <c r="B17" s="6"/>
      <c r="C17" s="6"/>
      <c r="D17" s="6"/>
      <c r="E17" s="6"/>
      <c r="F17" s="7"/>
      <c r="G17" s="8"/>
      <c r="H17" s="6"/>
      <c r="I17" s="6"/>
      <c r="J17" s="7"/>
      <c r="K17" s="7"/>
      <c r="L17" s="9"/>
      <c r="M17" s="6"/>
      <c r="N17" s="10"/>
      <c r="O17" s="16"/>
      <c r="P17" s="17"/>
      <c r="Q17" s="10"/>
      <c r="R17" s="17"/>
      <c r="S17" s="16"/>
      <c r="T17" s="16"/>
      <c r="U17" s="16" t="str">
        <f>Master!$R$2 &amp;C17&amp;Master!$R$3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7" s="20" t="e">
        <f t="shared" si="0"/>
        <v>#VALUE!</v>
      </c>
      <c r="W17" s="16"/>
      <c r="X17" s="16"/>
      <c r="Y17" s="16"/>
    </row>
    <row r="18" spans="1:25" ht="15.75" customHeight="1">
      <c r="A18" s="6"/>
      <c r="B18" s="6"/>
      <c r="C18" s="6"/>
      <c r="D18" s="6"/>
      <c r="E18" s="6"/>
      <c r="F18" s="7"/>
      <c r="G18" s="6"/>
      <c r="H18" s="8"/>
      <c r="I18" s="6"/>
      <c r="J18" s="7"/>
      <c r="K18" s="7"/>
      <c r="L18" s="9"/>
      <c r="M18" s="6"/>
      <c r="N18" s="10"/>
      <c r="O18" s="16"/>
      <c r="P18" s="17"/>
      <c r="Q18" s="10"/>
      <c r="R18" s="17"/>
      <c r="S18" s="16"/>
      <c r="T18" s="16"/>
      <c r="U18" s="16" t="str">
        <f>Master!$R$2 &amp;C18&amp;Master!$R$3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8" s="20" t="e">
        <f t="shared" si="0"/>
        <v>#VALUE!</v>
      </c>
      <c r="W18" s="16"/>
      <c r="X18" s="16"/>
      <c r="Y18" s="16"/>
    </row>
    <row r="19" spans="1:25" ht="15.75" customHeight="1">
      <c r="A19" s="6"/>
      <c r="B19" s="6"/>
      <c r="C19" s="6"/>
      <c r="D19" s="6"/>
      <c r="E19" s="6"/>
      <c r="F19" s="7"/>
      <c r="G19" s="6"/>
      <c r="H19" s="8"/>
      <c r="I19" s="6"/>
      <c r="J19" s="7"/>
      <c r="K19" s="7"/>
      <c r="L19" s="9"/>
      <c r="M19" s="6"/>
      <c r="N19" s="10"/>
      <c r="O19" s="16"/>
      <c r="P19" s="17"/>
      <c r="Q19" s="10"/>
      <c r="R19" s="17"/>
      <c r="S19" s="16"/>
      <c r="T19" s="16"/>
      <c r="U19" s="16" t="str">
        <f>Master!$R$2 &amp;C19&amp;Master!$R$3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19" s="20" t="e">
        <f t="shared" si="0"/>
        <v>#VALUE!</v>
      </c>
      <c r="W19" s="16"/>
      <c r="X19" s="16"/>
      <c r="Y19" s="16"/>
    </row>
    <row r="20" spans="1:25" ht="15.75" customHeight="1">
      <c r="A20" s="6"/>
      <c r="B20" s="6"/>
      <c r="C20" s="6"/>
      <c r="D20" s="6"/>
      <c r="E20" s="6"/>
      <c r="F20" s="7"/>
      <c r="G20" s="8"/>
      <c r="H20" s="6"/>
      <c r="I20" s="6"/>
      <c r="J20" s="7"/>
      <c r="K20" s="7"/>
      <c r="L20" s="9"/>
      <c r="M20" s="6"/>
      <c r="N20" s="10"/>
      <c r="O20" s="16"/>
      <c r="P20" s="17"/>
      <c r="Q20" s="10"/>
      <c r="R20" s="17"/>
      <c r="S20" s="16"/>
      <c r="T20" s="16"/>
      <c r="U20" s="16" t="str">
        <f>Master!$R$2 &amp;C20&amp;Master!$R$3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0" s="20" t="e">
        <f t="shared" si="0"/>
        <v>#VALUE!</v>
      </c>
      <c r="W20" s="16"/>
      <c r="X20" s="16"/>
      <c r="Y20" s="16"/>
    </row>
    <row r="21" spans="1:25" ht="15.75" customHeight="1">
      <c r="A21" s="6"/>
      <c r="B21" s="6"/>
      <c r="C21" s="6"/>
      <c r="D21" s="6"/>
      <c r="E21" s="6"/>
      <c r="F21" s="7"/>
      <c r="G21" s="6"/>
      <c r="H21" s="8"/>
      <c r="I21" s="6"/>
      <c r="J21" s="7"/>
      <c r="K21" s="7"/>
      <c r="L21" s="9"/>
      <c r="M21" s="6"/>
      <c r="N21" s="10"/>
      <c r="O21" s="16"/>
      <c r="P21" s="16"/>
      <c r="Q21" s="16"/>
      <c r="R21" s="16"/>
      <c r="S21" s="16"/>
      <c r="T21" s="16"/>
      <c r="U21" s="16" t="str">
        <f>Master!$R$2 &amp;C21&amp;Master!$R$3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1" s="20" t="e">
        <f t="shared" si="0"/>
        <v>#VALUE!</v>
      </c>
      <c r="W21" s="16"/>
      <c r="X21" s="16"/>
      <c r="Y21" s="16"/>
    </row>
    <row r="22" spans="1:25" ht="15.75" customHeight="1">
      <c r="A22" s="6"/>
      <c r="B22" s="6"/>
      <c r="C22" s="6"/>
      <c r="D22" s="6"/>
      <c r="E22" s="6"/>
      <c r="F22" s="7"/>
      <c r="G22" s="8"/>
      <c r="H22" s="6"/>
      <c r="I22" s="6"/>
      <c r="J22" s="7"/>
      <c r="K22" s="7"/>
      <c r="L22" s="9"/>
      <c r="M22" s="6"/>
      <c r="N22" s="10"/>
      <c r="O22" s="16"/>
      <c r="P22" s="16"/>
      <c r="Q22" s="16"/>
      <c r="R22" s="16"/>
      <c r="S22" s="16"/>
      <c r="T22" s="16"/>
      <c r="U22" s="16" t="str">
        <f>Master!$R$2 &amp;C22&amp;Master!$R$3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2" s="20" t="e">
        <f t="shared" si="0"/>
        <v>#VALUE!</v>
      </c>
      <c r="W22" s="16"/>
      <c r="X22" s="16"/>
      <c r="Y22" s="16"/>
    </row>
    <row r="23" spans="1:25" ht="15.75" customHeight="1">
      <c r="A23" s="6"/>
      <c r="B23" s="6"/>
      <c r="C23" s="6"/>
      <c r="D23" s="6"/>
      <c r="E23" s="6"/>
      <c r="F23" s="7"/>
      <c r="G23" s="8"/>
      <c r="H23" s="6"/>
      <c r="I23" s="6"/>
      <c r="J23" s="7"/>
      <c r="K23" s="7"/>
      <c r="L23" s="9"/>
      <c r="M23" s="6"/>
      <c r="N23" s="10"/>
      <c r="O23" s="16"/>
      <c r="P23" s="16"/>
      <c r="Q23" s="16"/>
      <c r="R23" s="16"/>
      <c r="S23" s="16"/>
      <c r="T23" s="16"/>
      <c r="U23" s="16" t="str">
        <f>Master!$R$2 &amp;C23&amp;Master!$R$3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3" s="20" t="e">
        <f t="shared" si="0"/>
        <v>#VALUE!</v>
      </c>
      <c r="W23" s="16"/>
      <c r="X23" s="16"/>
      <c r="Y23" s="16"/>
    </row>
    <row r="24" spans="1:25" ht="15.75" customHeight="1">
      <c r="A24" s="6"/>
      <c r="B24" s="6"/>
      <c r="C24" s="6"/>
      <c r="D24" s="6"/>
      <c r="E24" s="6"/>
      <c r="F24" s="7"/>
      <c r="G24" s="8"/>
      <c r="H24" s="6"/>
      <c r="I24" s="6"/>
      <c r="J24" s="7"/>
      <c r="K24" s="7"/>
      <c r="L24" s="9"/>
      <c r="M24" s="6"/>
      <c r="N24" s="10"/>
      <c r="O24" s="16"/>
      <c r="P24" s="16"/>
      <c r="Q24" s="16"/>
      <c r="R24" s="16"/>
      <c r="S24" s="16"/>
      <c r="T24" s="16"/>
      <c r="U24" s="16" t="str">
        <f>Master!$R$2 &amp;C24&amp;Master!$R$3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4" s="20" t="e">
        <f t="shared" si="0"/>
        <v>#VALUE!</v>
      </c>
      <c r="W24" s="16"/>
      <c r="X24" s="16"/>
      <c r="Y24" s="16"/>
    </row>
    <row r="25" spans="1:25" ht="15.75" customHeight="1">
      <c r="A25" s="6"/>
      <c r="B25" s="6"/>
      <c r="C25" s="6"/>
      <c r="D25" s="6"/>
      <c r="E25" s="6"/>
      <c r="F25" s="7"/>
      <c r="G25" s="8"/>
      <c r="H25" s="6"/>
      <c r="I25" s="6"/>
      <c r="J25" s="7"/>
      <c r="K25" s="7"/>
      <c r="L25" s="9"/>
      <c r="M25" s="6"/>
      <c r="N25" s="10"/>
      <c r="O25" s="16"/>
      <c r="P25" s="16"/>
      <c r="Q25" s="16"/>
      <c r="R25" s="16"/>
      <c r="S25" s="16"/>
      <c r="T25" s="16"/>
      <c r="U25" s="16" t="str">
        <f>Master!$R$2 &amp;C25&amp;Master!$R$3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5" s="20" t="e">
        <f t="shared" si="0"/>
        <v>#VALUE!</v>
      </c>
      <c r="W25" s="16"/>
      <c r="X25" s="16"/>
      <c r="Y25" s="16"/>
    </row>
    <row r="26" spans="1:25" ht="15.75" customHeight="1">
      <c r="A26" s="6"/>
      <c r="B26" s="6"/>
      <c r="C26" s="6"/>
      <c r="D26" s="6"/>
      <c r="E26" s="35"/>
      <c r="F26" s="36"/>
      <c r="G26" s="37"/>
      <c r="H26" s="6"/>
      <c r="I26" s="6"/>
      <c r="J26" s="7"/>
      <c r="K26" s="7"/>
      <c r="L26" s="9"/>
      <c r="M26" s="6"/>
      <c r="N26" s="10"/>
      <c r="O26" s="16"/>
      <c r="P26" s="16"/>
      <c r="Q26" s="16"/>
      <c r="R26" s="16"/>
      <c r="S26" s="16"/>
      <c r="T26" s="16"/>
      <c r="U26" s="16" t="str">
        <f>Master!$R$2 &amp;C26&amp;Master!$R$3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6" s="20" t="e">
        <f t="shared" si="0"/>
        <v>#VALUE!</v>
      </c>
      <c r="W26" s="16"/>
      <c r="X26" s="16"/>
      <c r="Y26" s="16"/>
    </row>
    <row r="27" spans="1:25" ht="15.75" customHeight="1">
      <c r="A27" s="6"/>
      <c r="B27" s="6"/>
      <c r="C27" s="6"/>
      <c r="D27" s="6"/>
      <c r="E27" s="6"/>
      <c r="F27" s="11"/>
      <c r="G27" s="8"/>
      <c r="H27" s="6"/>
      <c r="I27" s="6"/>
      <c r="J27" s="7"/>
      <c r="K27" s="7"/>
      <c r="L27" s="9"/>
      <c r="M27" s="6"/>
      <c r="N27" s="10"/>
      <c r="O27" s="16"/>
      <c r="P27" s="16"/>
      <c r="Q27" s="16"/>
      <c r="R27" s="16"/>
      <c r="S27" s="16"/>
      <c r="T27" s="16"/>
      <c r="U27" s="16" t="str">
        <f>Master!$R$2 &amp;C27&amp;Master!$R$3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7" s="20" t="e">
        <f t="shared" si="0"/>
        <v>#VALUE!</v>
      </c>
      <c r="W27" s="16"/>
      <c r="X27" s="16"/>
      <c r="Y27" s="16"/>
    </row>
    <row r="28" spans="1:25" ht="15.75" customHeight="1">
      <c r="A28" s="6"/>
      <c r="B28" s="6"/>
      <c r="C28" s="6"/>
      <c r="D28" s="6"/>
      <c r="E28" s="6"/>
      <c r="F28" s="7"/>
      <c r="G28" s="8"/>
      <c r="H28" s="6"/>
      <c r="I28" s="6"/>
      <c r="J28" s="7"/>
      <c r="K28" s="7"/>
      <c r="L28" s="9"/>
      <c r="M28" s="6"/>
      <c r="N28" s="10"/>
      <c r="O28" s="16"/>
      <c r="P28" s="17"/>
      <c r="Q28" s="10"/>
      <c r="R28" s="17"/>
      <c r="S28" s="16"/>
      <c r="T28" s="16"/>
      <c r="U28" s="16" t="str">
        <f>Master!$R$2 &amp;C28&amp;Master!$R$3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8" s="20" t="e">
        <f t="shared" si="0"/>
        <v>#VALUE!</v>
      </c>
      <c r="W28" s="16"/>
      <c r="X28" s="16"/>
      <c r="Y28" s="16"/>
    </row>
    <row r="29" spans="1:25" ht="15.75" customHeight="1">
      <c r="A29" s="6"/>
      <c r="B29" s="6"/>
      <c r="C29" s="6"/>
      <c r="D29" s="6"/>
      <c r="E29" s="6"/>
      <c r="F29" s="7"/>
      <c r="G29" s="8"/>
      <c r="H29" s="6"/>
      <c r="I29" s="6"/>
      <c r="J29" s="7"/>
      <c r="K29" s="7"/>
      <c r="L29" s="9"/>
      <c r="M29" s="6"/>
      <c r="N29" s="10"/>
      <c r="O29" s="16"/>
      <c r="P29" s="16"/>
      <c r="Q29" s="10"/>
      <c r="R29" s="17"/>
      <c r="S29" s="16"/>
      <c r="T29" s="16"/>
      <c r="U29" s="16" t="str">
        <f>Master!$R$2 &amp;C29&amp;Master!$R$3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29" s="20" t="e">
        <f t="shared" si="0"/>
        <v>#VALUE!</v>
      </c>
      <c r="W29" s="16"/>
      <c r="X29" s="16"/>
      <c r="Y29" s="16"/>
    </row>
    <row r="30" spans="1:25" ht="15.75" customHeight="1">
      <c r="A30" s="6"/>
      <c r="B30" s="6"/>
      <c r="C30" s="6"/>
      <c r="D30" s="6"/>
      <c r="E30" s="6"/>
      <c r="F30" s="7"/>
      <c r="G30" s="8"/>
      <c r="H30" s="6"/>
      <c r="I30" s="6"/>
      <c r="J30" s="7"/>
      <c r="K30" s="7"/>
      <c r="L30" s="9"/>
      <c r="M30" s="6"/>
      <c r="N30" s="10"/>
      <c r="O30" s="16"/>
      <c r="P30" s="16"/>
      <c r="Q30" s="10"/>
      <c r="R30" s="17"/>
      <c r="S30" s="16"/>
      <c r="T30" s="16"/>
      <c r="U30" s="16" t="str">
        <f>Master!$R$2 &amp;C30&amp;Master!$R$3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0" s="20" t="e">
        <f t="shared" si="0"/>
        <v>#VALUE!</v>
      </c>
      <c r="W30" s="16"/>
      <c r="X30" s="16"/>
      <c r="Y30" s="16"/>
    </row>
    <row r="31" spans="1:25" ht="15.75" customHeight="1">
      <c r="A31" s="6"/>
      <c r="B31" s="6"/>
      <c r="C31" s="6"/>
      <c r="D31" s="6"/>
      <c r="E31" s="6"/>
      <c r="F31" s="7"/>
      <c r="G31" s="6"/>
      <c r="H31" s="8"/>
      <c r="I31" s="6"/>
      <c r="J31" s="7"/>
      <c r="K31" s="7"/>
      <c r="L31" s="9"/>
      <c r="M31" s="6"/>
      <c r="N31" s="10"/>
      <c r="O31" s="16"/>
      <c r="P31" s="16"/>
      <c r="Q31" s="10"/>
      <c r="R31" s="17"/>
      <c r="S31" s="16"/>
      <c r="T31" s="16"/>
      <c r="U31" s="16" t="str">
        <f>Master!$R$2 &amp;C31&amp;Master!$R$3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1" s="20" t="e">
        <f t="shared" si="0"/>
        <v>#VALUE!</v>
      </c>
      <c r="W31" s="16"/>
      <c r="X31" s="16"/>
      <c r="Y31" s="16"/>
    </row>
    <row r="32" spans="1:25" ht="15.75" customHeight="1">
      <c r="A32" s="6"/>
      <c r="B32" s="6"/>
      <c r="C32" s="6"/>
      <c r="D32" s="6"/>
      <c r="E32" s="6"/>
      <c r="F32" s="7"/>
      <c r="G32" s="6"/>
      <c r="H32" s="8"/>
      <c r="I32" s="6"/>
      <c r="J32" s="7"/>
      <c r="K32" s="7"/>
      <c r="L32" s="9"/>
      <c r="M32" s="6"/>
      <c r="N32" s="10"/>
      <c r="O32" s="16"/>
      <c r="P32" s="17"/>
      <c r="Q32" s="10"/>
      <c r="R32" s="17"/>
      <c r="S32" s="16"/>
      <c r="T32" s="16"/>
      <c r="U32" s="16" t="str">
        <f>Master!$R$2 &amp;C32&amp;Master!$R$3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2" s="20" t="e">
        <f t="shared" si="0"/>
        <v>#VALUE!</v>
      </c>
      <c r="W32" s="16"/>
      <c r="X32" s="16"/>
      <c r="Y32" s="16"/>
    </row>
    <row r="33" spans="1:25" ht="15.75" customHeight="1">
      <c r="A33" s="6"/>
      <c r="B33" s="6"/>
      <c r="C33" s="6"/>
      <c r="D33" s="6"/>
      <c r="E33" s="6"/>
      <c r="F33" s="7"/>
      <c r="G33" s="8"/>
      <c r="H33" s="6"/>
      <c r="I33" s="6"/>
      <c r="J33" s="7"/>
      <c r="K33" s="7"/>
      <c r="L33" s="9"/>
      <c r="M33" s="6"/>
      <c r="N33" s="10"/>
      <c r="O33" s="16"/>
      <c r="P33" s="16"/>
      <c r="Q33" s="10"/>
      <c r="R33" s="17"/>
      <c r="S33" s="16"/>
      <c r="T33" s="16"/>
      <c r="U33" s="16" t="str">
        <f>Master!$R$2 &amp;C33&amp;Master!$R$3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3" s="20" t="e">
        <f t="shared" si="0"/>
        <v>#VALUE!</v>
      </c>
      <c r="W33" s="16"/>
      <c r="X33" s="16"/>
      <c r="Y33" s="16"/>
    </row>
    <row r="34" spans="1:25" ht="15.75" customHeight="1">
      <c r="A34" s="6"/>
      <c r="B34" s="6"/>
      <c r="C34" s="6"/>
      <c r="D34" s="6"/>
      <c r="E34" s="6"/>
      <c r="F34" s="7"/>
      <c r="G34" s="8"/>
      <c r="H34" s="6"/>
      <c r="I34" s="6"/>
      <c r="J34" s="7"/>
      <c r="K34" s="7"/>
      <c r="L34" s="9"/>
      <c r="M34" s="6"/>
      <c r="N34" s="10"/>
      <c r="O34" s="16"/>
      <c r="P34" s="16"/>
      <c r="Q34" s="10"/>
      <c r="R34" s="17"/>
      <c r="S34" s="16"/>
      <c r="T34" s="16"/>
      <c r="U34" s="16" t="str">
        <f>Master!$R$2 &amp;C34&amp;Master!$R$3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4" s="20" t="e">
        <f t="shared" si="0"/>
        <v>#VALUE!</v>
      </c>
      <c r="W34" s="16"/>
      <c r="X34" s="16"/>
      <c r="Y34" s="16"/>
    </row>
    <row r="35" spans="1:25" ht="15.75" customHeight="1">
      <c r="A35" s="6"/>
      <c r="B35" s="6"/>
      <c r="C35" s="6"/>
      <c r="D35" s="6"/>
      <c r="E35" s="6"/>
      <c r="F35" s="7"/>
      <c r="G35" s="6"/>
      <c r="H35" s="8"/>
      <c r="I35" s="6"/>
      <c r="J35" s="7"/>
      <c r="K35" s="7"/>
      <c r="L35" s="9"/>
      <c r="M35" s="6"/>
      <c r="N35" s="10"/>
      <c r="O35" s="16"/>
      <c r="P35" s="16"/>
      <c r="Q35" s="10"/>
      <c r="R35" s="17"/>
      <c r="S35" s="16"/>
      <c r="T35" s="16"/>
      <c r="U35" s="16" t="str">
        <f>Master!$R$2 &amp;C35&amp;Master!$R$3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5" s="20" t="e">
        <f t="shared" si="0"/>
        <v>#VALUE!</v>
      </c>
      <c r="W35" s="16"/>
      <c r="X35" s="16"/>
      <c r="Y35" s="16"/>
    </row>
    <row r="36" spans="1:25" ht="15.75" customHeight="1">
      <c r="A36" s="6"/>
      <c r="B36" s="6"/>
      <c r="C36" s="6"/>
      <c r="D36" s="6"/>
      <c r="E36" s="6"/>
      <c r="F36" s="7"/>
      <c r="G36" s="6"/>
      <c r="H36" s="8"/>
      <c r="I36" s="6"/>
      <c r="J36" s="7"/>
      <c r="K36" s="7"/>
      <c r="L36" s="9"/>
      <c r="M36" s="6"/>
      <c r="N36" s="10"/>
      <c r="O36" s="16"/>
      <c r="P36" s="16"/>
      <c r="Q36" s="16"/>
      <c r="R36" s="16"/>
      <c r="S36" s="16"/>
      <c r="T36" s="16"/>
      <c r="U36" s="16" t="str">
        <f>Master!$R$2 &amp;C36&amp;Master!$R$3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6" s="20" t="e">
        <f t="shared" si="0"/>
        <v>#VALUE!</v>
      </c>
      <c r="W36" s="16"/>
      <c r="X36" s="16"/>
      <c r="Y36" s="16"/>
    </row>
    <row r="37" spans="1:25" ht="15.75" customHeight="1">
      <c r="A37" s="6"/>
      <c r="B37" s="6"/>
      <c r="C37" s="6"/>
      <c r="D37" s="6"/>
      <c r="E37" s="6"/>
      <c r="F37" s="7"/>
      <c r="G37" s="8"/>
      <c r="H37" s="6"/>
      <c r="I37" s="6"/>
      <c r="J37" s="7"/>
      <c r="K37" s="7"/>
      <c r="L37" s="9"/>
      <c r="M37" s="6"/>
      <c r="N37" s="10"/>
      <c r="O37" s="16"/>
      <c r="P37" s="16"/>
      <c r="Q37" s="10"/>
      <c r="R37" s="17"/>
      <c r="S37" s="16"/>
      <c r="T37" s="16"/>
      <c r="U37" s="16" t="str">
        <f>Master!$R$2 &amp;C37&amp;Master!$R$3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7" s="20" t="e">
        <f t="shared" si="0"/>
        <v>#VALUE!</v>
      </c>
      <c r="W37" s="16"/>
      <c r="X37" s="16"/>
      <c r="Y37" s="16"/>
    </row>
    <row r="38" spans="1:25" ht="15.75" customHeight="1">
      <c r="A38" s="6"/>
      <c r="B38" s="6"/>
      <c r="C38" s="6"/>
      <c r="D38" s="6"/>
      <c r="E38" s="6"/>
      <c r="F38" s="7"/>
      <c r="G38" s="8"/>
      <c r="H38" s="8"/>
      <c r="I38" s="8"/>
      <c r="J38" s="7"/>
      <c r="K38" s="7"/>
      <c r="L38" s="9"/>
      <c r="M38" s="6"/>
      <c r="N38" s="10"/>
      <c r="O38" s="16"/>
      <c r="P38" s="17"/>
      <c r="Q38" s="10"/>
      <c r="R38" s="17"/>
      <c r="S38" s="16"/>
      <c r="T38" s="16"/>
      <c r="U38" s="16" t="str">
        <f>Master!$R$2 &amp;C38&amp;Master!$R$3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8" s="20" t="e">
        <f t="shared" si="0"/>
        <v>#VALUE!</v>
      </c>
      <c r="W38" s="16"/>
      <c r="X38" s="16"/>
      <c r="Y38" s="16"/>
    </row>
    <row r="39" spans="1:25" ht="15.75" customHeight="1">
      <c r="A39" s="6"/>
      <c r="B39" s="6"/>
      <c r="C39" s="6"/>
      <c r="D39" s="6"/>
      <c r="E39" s="6"/>
      <c r="F39" s="7"/>
      <c r="G39" s="8"/>
      <c r="H39" s="6"/>
      <c r="I39" s="6"/>
      <c r="J39" s="7"/>
      <c r="K39" s="7"/>
      <c r="L39" s="9"/>
      <c r="M39" s="6"/>
      <c r="N39" s="10"/>
      <c r="O39" s="16"/>
      <c r="P39" s="17"/>
      <c r="Q39" s="10"/>
      <c r="R39" s="17"/>
      <c r="S39" s="16"/>
      <c r="T39" s="16"/>
      <c r="U39" s="16" t="str">
        <f>Master!$R$2 &amp;C39&amp;Master!$R$3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39" s="20" t="e">
        <f t="shared" si="0"/>
        <v>#VALUE!</v>
      </c>
      <c r="W39" s="16"/>
      <c r="X39" s="16"/>
      <c r="Y39" s="16"/>
    </row>
    <row r="40" spans="1:25" ht="15.75" customHeight="1">
      <c r="A40" s="6"/>
      <c r="B40" s="6"/>
      <c r="C40" s="6"/>
      <c r="D40" s="6"/>
      <c r="E40" s="6"/>
      <c r="F40" s="7"/>
      <c r="G40" s="6"/>
      <c r="H40" s="8"/>
      <c r="I40" s="6"/>
      <c r="J40" s="7"/>
      <c r="K40" s="7"/>
      <c r="L40" s="9"/>
      <c r="M40" s="6"/>
      <c r="N40" s="10"/>
      <c r="O40" s="16"/>
      <c r="P40" s="16"/>
      <c r="Q40" s="16"/>
      <c r="R40" s="16"/>
      <c r="S40" s="16"/>
      <c r="T40" s="16"/>
      <c r="U40" s="16" t="str">
        <f>Master!$R$2 &amp;C40&amp;Master!$R$3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0" s="20" t="e">
        <f t="shared" si="0"/>
        <v>#VALUE!</v>
      </c>
      <c r="W40" s="16"/>
      <c r="X40" s="16"/>
      <c r="Y40" s="16"/>
    </row>
    <row r="41" spans="1:25" ht="18">
      <c r="A41" s="6"/>
      <c r="B41" s="6"/>
      <c r="C41" s="6"/>
      <c r="D41" s="6"/>
      <c r="E41" s="6"/>
      <c r="F41" s="7"/>
      <c r="G41" s="6"/>
      <c r="H41" s="8"/>
      <c r="I41" s="8"/>
      <c r="J41" s="7"/>
      <c r="K41" s="7"/>
      <c r="L41" s="9"/>
      <c r="M41" s="6"/>
      <c r="N41" s="10"/>
      <c r="O41" s="16"/>
      <c r="P41" s="16"/>
      <c r="Q41" s="16"/>
      <c r="R41" s="16"/>
      <c r="S41" s="16"/>
      <c r="T41" s="16"/>
      <c r="U41" s="16" t="str">
        <f>Master!$R$2 &amp;C41&amp;Master!$R$3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1" s="20" t="e">
        <f t="shared" si="0"/>
        <v>#VALUE!</v>
      </c>
      <c r="W41" s="16"/>
      <c r="X41" s="16"/>
      <c r="Y41" s="16"/>
    </row>
    <row r="42" spans="1:25" ht="18">
      <c r="A42" s="6"/>
      <c r="B42" s="6"/>
      <c r="C42" s="6"/>
      <c r="D42" s="6"/>
      <c r="E42" s="6"/>
      <c r="F42" s="7"/>
      <c r="G42" s="6"/>
      <c r="H42" s="8"/>
      <c r="I42" s="8"/>
      <c r="J42" s="7"/>
      <c r="K42" s="7"/>
      <c r="L42" s="9"/>
      <c r="M42" s="6"/>
      <c r="N42" s="10"/>
      <c r="O42" s="16"/>
      <c r="P42" s="16"/>
      <c r="Q42" s="16"/>
      <c r="R42" s="16"/>
      <c r="S42" s="16"/>
      <c r="T42" s="16"/>
      <c r="U42" s="16" t="str">
        <f>Master!$R$2 &amp;C42&amp;Master!$R$3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2" s="20" t="e">
        <f t="shared" si="0"/>
        <v>#VALUE!</v>
      </c>
      <c r="W42" s="16"/>
      <c r="X42" s="16"/>
      <c r="Y42" s="16"/>
    </row>
    <row r="43" spans="1:25" ht="18">
      <c r="A43" s="6"/>
      <c r="B43" s="6"/>
      <c r="C43" s="6"/>
      <c r="D43" s="6"/>
      <c r="E43" s="6"/>
      <c r="F43" s="7"/>
      <c r="G43" s="8"/>
      <c r="H43" s="6"/>
      <c r="I43" s="6"/>
      <c r="J43" s="7"/>
      <c r="K43" s="7"/>
      <c r="L43" s="9"/>
      <c r="M43" s="6"/>
      <c r="N43" s="10"/>
      <c r="O43" s="16"/>
      <c r="P43" s="16"/>
      <c r="Q43" s="16"/>
      <c r="R43" s="16"/>
      <c r="S43" s="16"/>
      <c r="T43" s="16"/>
      <c r="U43" s="16" t="str">
        <f>Master!$R$2 &amp;C43&amp;Master!$R$3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3" s="20" t="e">
        <f t="shared" si="0"/>
        <v>#VALUE!</v>
      </c>
      <c r="W43" s="16"/>
      <c r="X43" s="16"/>
      <c r="Y43" s="16"/>
    </row>
    <row r="44" spans="1:25" ht="18">
      <c r="A44" s="6"/>
      <c r="B44" s="6"/>
      <c r="C44" s="6"/>
      <c r="D44" s="6"/>
      <c r="E44" s="6"/>
      <c r="F44" s="7"/>
      <c r="G44" s="8"/>
      <c r="H44" s="6"/>
      <c r="I44" s="6"/>
      <c r="J44" s="7"/>
      <c r="K44" s="7"/>
      <c r="L44" s="9"/>
      <c r="M44" s="6"/>
      <c r="N44" s="10"/>
      <c r="O44" s="16"/>
      <c r="P44" s="16"/>
      <c r="Q44" s="16"/>
      <c r="R44" s="16"/>
      <c r="S44" s="16"/>
      <c r="T44" s="16"/>
      <c r="U44" s="16" t="str">
        <f>Master!$R$2 &amp;C44&amp;Master!$R$3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4" s="20" t="e">
        <f t="shared" si="0"/>
        <v>#VALUE!</v>
      </c>
      <c r="W44" s="16"/>
      <c r="X44" s="16"/>
      <c r="Y44" s="16"/>
    </row>
    <row r="45" spans="1:25" ht="18">
      <c r="A45" s="6"/>
      <c r="B45" s="6"/>
      <c r="C45" s="6"/>
      <c r="D45" s="6"/>
      <c r="E45" s="6"/>
      <c r="F45" s="7"/>
      <c r="G45" s="8"/>
      <c r="H45" s="6"/>
      <c r="I45" s="6"/>
      <c r="J45" s="7"/>
      <c r="K45" s="7"/>
      <c r="L45" s="9"/>
      <c r="M45" s="6"/>
      <c r="N45" s="10"/>
      <c r="O45" s="16"/>
      <c r="P45" s="16"/>
      <c r="Q45" s="16"/>
      <c r="R45" s="16"/>
      <c r="S45" s="16"/>
      <c r="T45" s="16"/>
      <c r="U45" s="16" t="str">
        <f>Master!$R$2 &amp;C45&amp;Master!$R$3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5" s="20" t="e">
        <f t="shared" si="0"/>
        <v>#VALUE!</v>
      </c>
      <c r="W45" s="16"/>
      <c r="X45" s="16"/>
      <c r="Y45" s="16"/>
    </row>
    <row r="46" spans="1:25" ht="18">
      <c r="A46" s="6"/>
      <c r="B46" s="6"/>
      <c r="C46" s="6"/>
      <c r="D46" s="6"/>
      <c r="E46" s="6"/>
      <c r="F46" s="7"/>
      <c r="G46" s="8"/>
      <c r="H46" s="6"/>
      <c r="I46" s="6"/>
      <c r="J46" s="7"/>
      <c r="K46" s="7"/>
      <c r="L46" s="9"/>
      <c r="M46" s="6"/>
      <c r="N46" s="10"/>
      <c r="O46" s="16"/>
      <c r="P46" s="16"/>
      <c r="Q46" s="16"/>
      <c r="R46" s="16"/>
      <c r="S46" s="16"/>
      <c r="T46" s="16"/>
      <c r="U46" s="16" t="str">
        <f>Master!$R$2 &amp;C46&amp;Master!$R$3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6" s="20" t="e">
        <f t="shared" si="0"/>
        <v>#VALUE!</v>
      </c>
      <c r="W46" s="16"/>
      <c r="X46" s="16"/>
      <c r="Y46" s="16"/>
    </row>
    <row r="47" spans="1:25" ht="18">
      <c r="A47" s="6"/>
      <c r="B47" s="6"/>
      <c r="C47" s="6"/>
      <c r="D47" s="6"/>
      <c r="E47" s="6"/>
      <c r="F47" s="7"/>
      <c r="G47" s="6"/>
      <c r="H47" s="8"/>
      <c r="I47" s="8"/>
      <c r="J47" s="7"/>
      <c r="K47" s="7"/>
      <c r="L47" s="9"/>
      <c r="M47" s="6"/>
      <c r="N47" s="10"/>
      <c r="O47" s="16"/>
      <c r="P47" s="17"/>
      <c r="Q47" s="10"/>
      <c r="R47" s="17"/>
      <c r="S47" s="16"/>
      <c r="T47" s="16"/>
      <c r="U47" s="16" t="str">
        <f>Master!$R$2 &amp;C47&amp;Master!$R$3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7" s="20" t="e">
        <f t="shared" si="0"/>
        <v>#VALUE!</v>
      </c>
      <c r="W47" s="16"/>
      <c r="X47" s="16"/>
      <c r="Y47" s="16"/>
    </row>
    <row r="48" spans="1:25" ht="18">
      <c r="A48" s="6"/>
      <c r="B48" s="6"/>
      <c r="C48" s="6"/>
      <c r="D48" s="6"/>
      <c r="E48" s="6"/>
      <c r="F48" s="7"/>
      <c r="G48" s="8"/>
      <c r="H48" s="6"/>
      <c r="I48" s="6"/>
      <c r="J48" s="7"/>
      <c r="K48" s="7"/>
      <c r="L48" s="9"/>
      <c r="M48" s="6"/>
      <c r="N48" s="10"/>
      <c r="O48" s="16"/>
      <c r="P48" s="16"/>
      <c r="Q48" s="16"/>
      <c r="R48" s="16"/>
      <c r="S48" s="16"/>
      <c r="T48" s="16"/>
      <c r="U48" s="16" t="str">
        <f>Master!$R$2 &amp;C48&amp;Master!$R$3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8" s="20" t="e">
        <f t="shared" si="0"/>
        <v>#VALUE!</v>
      </c>
      <c r="W48" s="16"/>
      <c r="X48" s="16"/>
      <c r="Y48" s="16"/>
    </row>
    <row r="49" spans="1:25" ht="18">
      <c r="A49" s="6"/>
      <c r="B49" s="6"/>
      <c r="C49" s="6"/>
      <c r="D49" s="6"/>
      <c r="E49" s="6"/>
      <c r="F49" s="7"/>
      <c r="G49" s="6"/>
      <c r="H49" s="8"/>
      <c r="I49" s="6"/>
      <c r="J49" s="7"/>
      <c r="K49" s="7"/>
      <c r="L49" s="9"/>
      <c r="M49" s="6"/>
      <c r="N49" s="10"/>
      <c r="O49" s="16"/>
      <c r="P49" s="16"/>
      <c r="Q49" s="16"/>
      <c r="R49" s="16"/>
      <c r="S49" s="16"/>
      <c r="T49" s="16"/>
      <c r="U49" s="16" t="str">
        <f>Master!$R$2 &amp;C49&amp;Master!$R$3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49" s="20" t="e">
        <f t="shared" si="0"/>
        <v>#VALUE!</v>
      </c>
      <c r="W49" s="16"/>
      <c r="X49" s="16"/>
      <c r="Y49" s="16"/>
    </row>
    <row r="50" spans="1:25" ht="18">
      <c r="A50" s="6"/>
      <c r="B50" s="6"/>
      <c r="C50" s="6"/>
      <c r="D50" s="6"/>
      <c r="E50" s="6"/>
      <c r="F50" s="7"/>
      <c r="G50" s="8"/>
      <c r="H50" s="6"/>
      <c r="I50" s="6"/>
      <c r="J50" s="7"/>
      <c r="K50" s="7"/>
      <c r="L50" s="9"/>
      <c r="M50" s="6"/>
      <c r="N50" s="10"/>
      <c r="O50" s="16"/>
      <c r="P50" s="16"/>
      <c r="Q50" s="16"/>
      <c r="R50" s="16"/>
      <c r="S50" s="16"/>
      <c r="T50" s="16"/>
      <c r="U50" s="16" t="str">
        <f>Master!$R$2 &amp;C50&amp;Master!$R$3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50" s="20" t="e">
        <f t="shared" si="0"/>
        <v>#VALUE!</v>
      </c>
      <c r="W50" s="16"/>
      <c r="X50" s="16"/>
      <c r="Y50" s="16"/>
    </row>
    <row r="51" spans="1:25" ht="18">
      <c r="A51" s="6"/>
      <c r="B51" s="6"/>
      <c r="C51" s="6"/>
      <c r="D51" s="6"/>
      <c r="E51" s="6"/>
      <c r="F51" s="7"/>
      <c r="G51" s="8"/>
      <c r="H51" s="6"/>
      <c r="I51" s="6"/>
      <c r="J51" s="7"/>
      <c r="K51" s="7"/>
      <c r="L51" s="9"/>
      <c r="M51" s="6"/>
      <c r="N51" s="10"/>
      <c r="O51" s="16"/>
      <c r="P51" s="16"/>
      <c r="Q51" s="16"/>
      <c r="R51" s="16"/>
      <c r="S51" s="16"/>
      <c r="T51" s="16"/>
      <c r="U51" s="16" t="str">
        <f>Master!$R$2 &amp;C51&amp;Master!$R$3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*'),timeRestore:!f,title:das_Common_Process_detail,viewMode:view)</v>
      </c>
      <c r="V51" s="20" t="e">
        <f t="shared" si="0"/>
        <v>#VALUE!</v>
      </c>
      <c r="W51" s="16"/>
      <c r="X51" s="16"/>
      <c r="Y51" s="16"/>
    </row>
  </sheetData>
  <autoFilter ref="A1:Y51" xr:uid="{00000000-0009-0000-0000-000003000000}"/>
  <customSheetViews>
    <customSheetView guid="{CBD93674-62A0-4C0B-9093-12186C0656A7}" filter="1" showAutoFilter="1">
      <pageMargins left="0.7" right="0.7" top="0.75" bottom="0.75" header="0.3" footer="0.3"/>
      <autoFilter ref="A1:Y51" xr:uid="{00000000-0000-0000-0000-000000000000}">
        <filterColumn colId="2">
          <filters blank="1"/>
        </filterColumn>
      </autoFilter>
    </customSheetView>
  </customSheetViews>
  <mergeCells count="1">
    <mergeCell ref="E26:G26"/>
  </mergeCells>
  <phoneticPr fontId="16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Master!$M$2:$M$19</xm:f>
          </x14:formula1>
          <xm:sqref>P1:P51</xm:sqref>
        </x14:dataValidation>
        <x14:dataValidation type="list" allowBlank="1" xr:uid="{00000000-0002-0000-0300-000001000000}">
          <x14:formula1>
            <xm:f>Master!$N$2:$N$5</xm:f>
          </x14:formula1>
          <xm:sqref>R1:R51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9"/>
  <sheetViews>
    <sheetView tabSelected="1" topLeftCell="F1" workbookViewId="0"/>
  </sheetViews>
  <sheetFormatPr defaultColWidth="14.44140625" defaultRowHeight="15.75" customHeight="1"/>
  <cols>
    <col min="1" max="1" width="57" customWidth="1"/>
    <col min="13" max="13" width="100.44140625" customWidth="1"/>
  </cols>
  <sheetData>
    <row r="1" spans="1:18" ht="15.75" customHeight="1">
      <c r="A1" s="14" t="s">
        <v>36</v>
      </c>
      <c r="B1" s="2" t="s">
        <v>20</v>
      </c>
      <c r="H1" s="2" t="s">
        <v>37</v>
      </c>
      <c r="I1" s="2" t="s">
        <v>38</v>
      </c>
      <c r="J1" s="2" t="s">
        <v>39</v>
      </c>
      <c r="M1" s="22" t="s">
        <v>40</v>
      </c>
      <c r="N1" s="23" t="s">
        <v>28</v>
      </c>
      <c r="O1" s="24" t="s">
        <v>41</v>
      </c>
      <c r="P1" s="25"/>
    </row>
    <row r="2" spans="1:18" ht="15.75" customHeight="1">
      <c r="A2" s="2" t="str">
        <f t="shared" ref="A2:A10" ca="1" si="0">E2&amp;"/ "&amp;D2</f>
        <v>A1.実行実績がない（実行サイクル変更があった）/ A1. There is no running experience (there was a run cycle change)</v>
      </c>
      <c r="B2" s="2" t="s">
        <v>42</v>
      </c>
      <c r="C2" s="2" t="s">
        <v>43</v>
      </c>
      <c r="D2" s="1" t="str">
        <f ca="1">IFERROR(__xludf.DUMMYFUNCTION("GOOGLETRANSLATE(E2,""ja"",""en"")"),"A1. There is no running experience (there was a run cycle change)")</f>
        <v>A1. There is no running experience (there was a run cycle change)</v>
      </c>
      <c r="E2" s="2" t="s">
        <v>44</v>
      </c>
      <c r="H2" s="1" t="str">
        <f t="shared" ref="H2:H4" ca="1" si="1">I2 &amp; "/" &amp;J2</f>
        <v>ユーザーアクション待ち/User action wait</v>
      </c>
      <c r="I2" s="2" t="s">
        <v>45</v>
      </c>
      <c r="J2" s="26" t="str">
        <f ca="1">IFERROR(__xludf.DUMMYFUNCTION("GOOGLETRANSLATE(I2,""ja"",""en"")"),"User action wait")</f>
        <v>User action wait</v>
      </c>
      <c r="M2" s="27" t="s">
        <v>46</v>
      </c>
      <c r="N2" s="28" t="s">
        <v>47</v>
      </c>
      <c r="O2" s="28" t="s">
        <v>42</v>
      </c>
      <c r="P2" s="28" t="s">
        <v>48</v>
      </c>
      <c r="Q2" s="29" t="s">
        <v>49</v>
      </c>
      <c r="R2" s="30" t="str">
        <f>R5&amp;Q2&amp;R6&amp;Q3&amp;R7</f>
        <v>https://rpa-dashboard.fastretailing.com/_plugin/kibana/app/kibana?security_tenant=global#/dashboard/77b46580-9bf7-11ea-a8b6-e9141704cca0?_g=(refreshInterval:(pause:!t,value:0),time:(from:'2020-10-04T15:00:00.000Z',mode:quick,to:'2020-10-11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</v>
      </c>
    </row>
    <row r="3" spans="1:18" ht="15.75" customHeight="1">
      <c r="A3" s="2" t="str">
        <f t="shared" ca="1" si="0"/>
        <v>A2.実行実績がない（破棄された）/ A2. There is no execution track record (which is discarded)</v>
      </c>
      <c r="B3" s="2" t="s">
        <v>50</v>
      </c>
      <c r="C3" s="2" t="s">
        <v>51</v>
      </c>
      <c r="D3" s="1" t="str">
        <f ca="1">IFERROR(__xludf.DUMMYFUNCTION("GOOGLETRANSLATE(E3,""ja"",""en"")"),"A2. There is no execution track record (which is discarded)")</f>
        <v>A2. There is no execution track record (which is discarded)</v>
      </c>
      <c r="E3" s="2" t="s">
        <v>52</v>
      </c>
      <c r="H3" s="1" t="str">
        <f t="shared" ca="1" si="1"/>
        <v>オートメーションチームアクション待ち/Automation team action waiting</v>
      </c>
      <c r="I3" s="2" t="s">
        <v>53</v>
      </c>
      <c r="J3" s="26" t="str">
        <f ca="1">IFERROR(__xludf.DUMMYFUNCTION("GOOGLETRANSLATE(I3,""ja"",""en"")"),"Automation team action waiting")</f>
        <v>Automation team action waiting</v>
      </c>
      <c r="M3" s="27" t="s">
        <v>54</v>
      </c>
      <c r="N3" s="28" t="s">
        <v>55</v>
      </c>
      <c r="O3" s="28" t="s">
        <v>50</v>
      </c>
      <c r="P3" s="28" t="s">
        <v>56</v>
      </c>
      <c r="Q3" s="29" t="s">
        <v>57</v>
      </c>
      <c r="R3" s="31" t="s">
        <v>58</v>
      </c>
    </row>
    <row r="4" spans="1:18" ht="15.75" customHeight="1">
      <c r="A4" s="2" t="str">
        <f t="shared" ca="1" si="0"/>
        <v>A3.実行実績がない（CR検討・対応中）/ A3. There is no execution track record (CR consider and corresponding in)</v>
      </c>
      <c r="B4" s="2" t="s">
        <v>59</v>
      </c>
      <c r="C4" s="2" t="s">
        <v>60</v>
      </c>
      <c r="D4" s="1" t="str">
        <f ca="1">IFERROR(__xludf.DUMMYFUNCTION("GOOGLETRANSLATE(E4,""ja"",""en"")"),"A3. There is no execution track record (CR consider and corresponding in)")</f>
        <v>A3. There is no execution track record (CR consider and corresponding in)</v>
      </c>
      <c r="E4" s="2" t="s">
        <v>61</v>
      </c>
      <c r="H4" s="1" t="str">
        <f t="shared" ca="1" si="1"/>
        <v>対向システム対応待ち/Counter system corresponding waiting</v>
      </c>
      <c r="I4" s="2" t="s">
        <v>62</v>
      </c>
      <c r="J4" s="26" t="str">
        <f ca="1">IFERROR(__xludf.DUMMYFUNCTION("GOOGLETRANSLATE(I4,""ja"",""en"")"),"Counter system corresponding waiting")</f>
        <v>Counter system corresponding waiting</v>
      </c>
      <c r="M4" s="27" t="s">
        <v>63</v>
      </c>
      <c r="N4" s="28" t="s">
        <v>64</v>
      </c>
      <c r="O4" s="28" t="s">
        <v>59</v>
      </c>
      <c r="P4" s="32" t="s">
        <v>65</v>
      </c>
    </row>
    <row r="5" spans="1:18" ht="15.75" customHeight="1">
      <c r="A5" s="2" t="str">
        <f t="shared" ca="1" si="0"/>
        <v>A4.実行実績がない（利用されていない・破棄懸念がある）/ A4. There is no execution track record (there is not no-discard concern that is used)</v>
      </c>
      <c r="D5" s="1" t="str">
        <f ca="1">IFERROR(__xludf.DUMMYFUNCTION("GOOGLETRANSLATE(E5,""ja"",""en"")"),"A4. There is no execution track record (there is not no-discard concern that is used)")</f>
        <v>A4. There is no execution track record (there is not no-discard concern that is used)</v>
      </c>
      <c r="E5" s="2" t="s">
        <v>66</v>
      </c>
      <c r="J5" s="26"/>
      <c r="M5" s="27" t="s">
        <v>67</v>
      </c>
      <c r="N5" s="28" t="s">
        <v>68</v>
      </c>
      <c r="O5" s="28" t="s">
        <v>69</v>
      </c>
      <c r="P5" s="28" t="s">
        <v>70</v>
      </c>
      <c r="R5" s="33" t="s">
        <v>71</v>
      </c>
    </row>
    <row r="6" spans="1:18" ht="15.75" customHeight="1">
      <c r="A6" s="2" t="str">
        <f t="shared" ca="1" si="0"/>
        <v>B1.C200対応問題（未対応）/ B1.C200 correspondence problem (not supported)</v>
      </c>
      <c r="D6" s="1" t="str">
        <f ca="1">IFERROR(__xludf.DUMMYFUNCTION("GOOGLETRANSLATE(E6,""ja"",""en"")"),"B1.C200 correspondence problem (not supported)")</f>
        <v>B1.C200 correspondence problem (not supported)</v>
      </c>
      <c r="E6" s="2" t="s">
        <v>72</v>
      </c>
      <c r="M6" s="32" t="s">
        <v>73</v>
      </c>
      <c r="N6" s="30"/>
      <c r="O6" s="28" t="s">
        <v>74</v>
      </c>
      <c r="P6" s="28" t="s">
        <v>75</v>
      </c>
      <c r="R6" s="34" t="s">
        <v>76</v>
      </c>
    </row>
    <row r="7" spans="1:18" ht="15.75" customHeight="1">
      <c r="A7" s="2" t="str">
        <f t="shared" ca="1" si="0"/>
        <v>B2.C200対応問題（挿入箇所エラー）/ B2.C200 correspondence problem (insertion point error)</v>
      </c>
      <c r="D7" s="1" t="str">
        <f ca="1">IFERROR(__xludf.DUMMYFUNCTION("GOOGLETRANSLATE(E7,""ja"",""en"")"),"B2.C200 correspondence problem (insertion point error)")</f>
        <v>B2.C200 correspondence problem (insertion point error)</v>
      </c>
      <c r="E7" s="2" t="s">
        <v>77</v>
      </c>
      <c r="M7" s="32" t="s">
        <v>78</v>
      </c>
      <c r="N7" s="30"/>
      <c r="O7" s="30"/>
      <c r="P7" s="30"/>
      <c r="R7" s="34" t="s">
        <v>79</v>
      </c>
    </row>
    <row r="8" spans="1:18" ht="15.75" customHeight="1">
      <c r="A8" s="2" t="str">
        <f t="shared" ca="1" si="0"/>
        <v>B3.C200対応問題（デグレ発生）/ B3.C200 correspondence problem (Degure occurrence)</v>
      </c>
      <c r="D8" s="1" t="str">
        <f ca="1">IFERROR(__xludf.DUMMYFUNCTION("GOOGLETRANSLATE(E8,""ja"",""en"")"),"B3.C200 correspondence problem (Degure occurrence)")</f>
        <v>B3.C200 correspondence problem (Degure occurrence)</v>
      </c>
      <c r="E8" s="2" t="s">
        <v>80</v>
      </c>
      <c r="M8" s="32" t="s">
        <v>81</v>
      </c>
      <c r="N8" s="30"/>
      <c r="O8" s="30"/>
      <c r="P8" s="30"/>
    </row>
    <row r="9" spans="1:18" ht="15.75" customHeight="1">
      <c r="A9" s="2" t="str">
        <f t="shared" ca="1" si="0"/>
        <v>C1.対象外（セキュアテナント）/ C1. Excluded (secure tenant)</v>
      </c>
      <c r="D9" s="1" t="str">
        <f ca="1">IFERROR(__xludf.DUMMYFUNCTION("GOOGLETRANSLATE(E9,""ja"",""en"")"),"C1. Excluded (secure tenant)")</f>
        <v>C1. Excluded (secure tenant)</v>
      </c>
      <c r="E9" s="2" t="s">
        <v>82</v>
      </c>
      <c r="M9" s="32" t="s">
        <v>83</v>
      </c>
      <c r="N9" s="30"/>
      <c r="O9" s="30"/>
      <c r="P9" s="30"/>
    </row>
    <row r="10" spans="1:18" ht="15.75" customHeight="1">
      <c r="A10" s="2" t="str">
        <f t="shared" ca="1" si="0"/>
        <v>C2.対象外（新規リリース直後）/ C2. Excluded (immediately after a new release)</v>
      </c>
      <c r="D10" s="1" t="str">
        <f ca="1">IFERROR(__xludf.DUMMYFUNCTION("GOOGLETRANSLATE(E10,""ja"",""en"")"),"C2. Excluded (immediately after a new release)")</f>
        <v>C2. Excluded (immediately after a new release)</v>
      </c>
      <c r="E10" s="2" t="s">
        <v>84</v>
      </c>
      <c r="M10" s="32" t="s">
        <v>85</v>
      </c>
      <c r="N10" s="30"/>
      <c r="O10" s="30"/>
      <c r="P10" s="30"/>
    </row>
    <row r="11" spans="1:18" ht="15.75" customHeight="1">
      <c r="M11" s="27" t="s">
        <v>86</v>
      </c>
      <c r="N11" s="30"/>
      <c r="O11" s="30"/>
      <c r="P11" s="30"/>
    </row>
    <row r="12" spans="1:18" ht="15.75" customHeight="1">
      <c r="M12" s="32" t="s">
        <v>87</v>
      </c>
      <c r="N12" s="30"/>
      <c r="O12" s="30"/>
      <c r="P12" s="30"/>
    </row>
    <row r="13" spans="1:18" ht="15.75" customHeight="1">
      <c r="M13" s="32" t="s">
        <v>88</v>
      </c>
      <c r="N13" s="30"/>
      <c r="O13" s="30"/>
      <c r="P13" s="30"/>
    </row>
    <row r="14" spans="1:18" ht="15.75" customHeight="1">
      <c r="M14" s="32" t="s">
        <v>89</v>
      </c>
      <c r="N14" s="30"/>
      <c r="O14" s="30"/>
      <c r="P14" s="30"/>
    </row>
    <row r="15" spans="1:18" ht="15.75" customHeight="1">
      <c r="M15" s="32" t="s">
        <v>90</v>
      </c>
      <c r="N15" s="30"/>
      <c r="O15" s="30"/>
      <c r="P15" s="30"/>
    </row>
    <row r="16" spans="1:18" ht="15.75" customHeight="1">
      <c r="M16" s="32" t="s">
        <v>91</v>
      </c>
      <c r="N16" s="30"/>
      <c r="O16" s="30"/>
      <c r="P16" s="30"/>
    </row>
    <row r="17" spans="13:16" ht="15.75" customHeight="1">
      <c r="M17" s="27" t="s">
        <v>92</v>
      </c>
      <c r="N17" s="30"/>
      <c r="O17" s="30"/>
      <c r="P17" s="30"/>
    </row>
    <row r="18" spans="13:16" ht="15.75" customHeight="1">
      <c r="M18" s="27" t="s">
        <v>93</v>
      </c>
      <c r="N18" s="30"/>
      <c r="O18" s="30"/>
      <c r="P18" s="30"/>
    </row>
    <row r="19" spans="13:16" ht="15.75" customHeight="1">
      <c r="M19" s="27" t="s">
        <v>94</v>
      </c>
      <c r="N19" s="30"/>
      <c r="O19" s="30"/>
      <c r="P19" s="30"/>
    </row>
  </sheetData>
  <phoneticPr fontId="16"/>
  <hyperlinks>
    <hyperlink ref="R5" r:id="rId1" location="/dashboard/77b46580-9bf7-11ea-a8b6-e9141704cca0?_g=(refreshInterval:(pause:!t,value:0),time:(from:'" xr:uid="{00000000-0004-0000-0400-00000000000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集計結果</vt:lpstr>
      <vt:lpstr>実行サイクル確認</vt:lpstr>
      <vt:lpstr>成功率確認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武 軼棟（rpa dev171）</cp:lastModifiedBy>
  <dcterms:modified xsi:type="dcterms:W3CDTF">2020-10-26T00:15:30Z</dcterms:modified>
</cp:coreProperties>
</file>